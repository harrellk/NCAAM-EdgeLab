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l\Projects\NCAAM\output\reports\"/>
    </mc:Choice>
  </mc:AlternateContent>
  <xr:revisionPtr revIDLastSave="0" documentId="13_ncr:1_{C44572B0-20FE-4A58-8896-69B7D16BC099}" xr6:coauthVersionLast="47" xr6:coauthVersionMax="47" xr10:uidLastSave="{00000000-0000-0000-0000-000000000000}"/>
  <bookViews>
    <workbookView xWindow="-110" yWindow="-110" windowWidth="25820" windowHeight="15500" xr2:uid="{C023D3D5-1278-4874-ADDE-CFF69CD09CD9}"/>
  </bookViews>
  <sheets>
    <sheet name="model_results_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P27" i="1" s="1"/>
  <c r="M27" i="1"/>
  <c r="S27" i="1" s="1"/>
  <c r="N27" i="1"/>
  <c r="O27" i="1"/>
  <c r="L28" i="1"/>
  <c r="M28" i="1"/>
  <c r="O28" i="1" s="1"/>
  <c r="N28" i="1"/>
  <c r="P28" i="1"/>
  <c r="Q28" i="1"/>
  <c r="R28" i="1"/>
  <c r="S28" i="1"/>
  <c r="L29" i="1"/>
  <c r="M29" i="1"/>
  <c r="N29" i="1"/>
  <c r="O29" i="1"/>
  <c r="P29" i="1"/>
  <c r="Q29" i="1"/>
  <c r="R29" i="1"/>
  <c r="S29" i="1"/>
  <c r="L30" i="1"/>
  <c r="P30" i="1" s="1"/>
  <c r="M30" i="1"/>
  <c r="O30" i="1" s="1"/>
  <c r="N30" i="1"/>
  <c r="L31" i="1"/>
  <c r="M31" i="1"/>
  <c r="N31" i="1"/>
  <c r="O31" i="1"/>
  <c r="P31" i="1"/>
  <c r="Q31" i="1"/>
  <c r="R31" i="1"/>
  <c r="S31" i="1"/>
  <c r="L32" i="1"/>
  <c r="P32" i="1" s="1"/>
  <c r="M32" i="1"/>
  <c r="S32" i="1" s="1"/>
  <c r="N32" i="1"/>
  <c r="O32" i="1"/>
  <c r="L33" i="1"/>
  <c r="M33" i="1"/>
  <c r="O33" i="1" s="1"/>
  <c r="N33" i="1"/>
  <c r="P33" i="1"/>
  <c r="Q33" i="1"/>
  <c r="R33" i="1"/>
  <c r="S33" i="1"/>
  <c r="L34" i="1"/>
  <c r="M34" i="1"/>
  <c r="N34" i="1"/>
  <c r="O34" i="1"/>
  <c r="P34" i="1"/>
  <c r="Q34" i="1"/>
  <c r="R34" i="1"/>
  <c r="S34" i="1"/>
  <c r="L35" i="1"/>
  <c r="P35" i="1" s="1"/>
  <c r="M35" i="1"/>
  <c r="O35" i="1" s="1"/>
  <c r="N35" i="1"/>
  <c r="L36" i="1"/>
  <c r="M36" i="1"/>
  <c r="N36" i="1"/>
  <c r="O36" i="1"/>
  <c r="P36" i="1"/>
  <c r="Q36" i="1"/>
  <c r="R36" i="1"/>
  <c r="S36" i="1"/>
  <c r="L37" i="1"/>
  <c r="P37" i="1" s="1"/>
  <c r="M37" i="1"/>
  <c r="S37" i="1" s="1"/>
  <c r="N37" i="1"/>
  <c r="O37" i="1"/>
  <c r="L38" i="1"/>
  <c r="M38" i="1"/>
  <c r="O38" i="1" s="1"/>
  <c r="N38" i="1"/>
  <c r="P38" i="1"/>
  <c r="Q38" i="1"/>
  <c r="R38" i="1"/>
  <c r="S38" i="1"/>
  <c r="L39" i="1"/>
  <c r="M39" i="1"/>
  <c r="N39" i="1"/>
  <c r="O39" i="1"/>
  <c r="P39" i="1"/>
  <c r="Q39" i="1"/>
  <c r="R39" i="1"/>
  <c r="S39" i="1"/>
  <c r="L40" i="1"/>
  <c r="P40" i="1" s="1"/>
  <c r="M40" i="1"/>
  <c r="O40" i="1" s="1"/>
  <c r="N40" i="1"/>
  <c r="L41" i="1"/>
  <c r="M41" i="1"/>
  <c r="N41" i="1"/>
  <c r="O41" i="1"/>
  <c r="P41" i="1"/>
  <c r="Q41" i="1"/>
  <c r="R41" i="1"/>
  <c r="S41" i="1"/>
  <c r="L42" i="1"/>
  <c r="P42" i="1" s="1"/>
  <c r="M42" i="1"/>
  <c r="S42" i="1" s="1"/>
  <c r="N42" i="1"/>
  <c r="O42" i="1"/>
  <c r="L43" i="1"/>
  <c r="M43" i="1"/>
  <c r="O43" i="1" s="1"/>
  <c r="N43" i="1"/>
  <c r="P43" i="1"/>
  <c r="Q43" i="1"/>
  <c r="R43" i="1"/>
  <c r="S43" i="1"/>
  <c r="L44" i="1"/>
  <c r="M44" i="1"/>
  <c r="N44" i="1"/>
  <c r="O44" i="1"/>
  <c r="P44" i="1"/>
  <c r="Q44" i="1"/>
  <c r="R44" i="1" s="1"/>
  <c r="S44" i="1"/>
  <c r="L45" i="1"/>
  <c r="P45" i="1" s="1"/>
  <c r="M45" i="1"/>
  <c r="O45" i="1" s="1"/>
  <c r="N45" i="1"/>
  <c r="L46" i="1"/>
  <c r="M46" i="1"/>
  <c r="N46" i="1"/>
  <c r="O46" i="1"/>
  <c r="P46" i="1"/>
  <c r="Q46" i="1"/>
  <c r="R46" i="1"/>
  <c r="S46" i="1"/>
  <c r="L47" i="1"/>
  <c r="P47" i="1" s="1"/>
  <c r="M47" i="1"/>
  <c r="S47" i="1" s="1"/>
  <c r="N47" i="1"/>
  <c r="O47" i="1"/>
  <c r="L48" i="1"/>
  <c r="M48" i="1"/>
  <c r="O48" i="1" s="1"/>
  <c r="N48" i="1"/>
  <c r="P48" i="1"/>
  <c r="Q48" i="1"/>
  <c r="R48" i="1"/>
  <c r="S48" i="1"/>
  <c r="L49" i="1"/>
  <c r="M49" i="1"/>
  <c r="N49" i="1"/>
  <c r="O49" i="1"/>
  <c r="P49" i="1"/>
  <c r="Q49" i="1"/>
  <c r="R49" i="1"/>
  <c r="S49" i="1"/>
  <c r="L50" i="1"/>
  <c r="P50" i="1" s="1"/>
  <c r="M50" i="1"/>
  <c r="O50" i="1" s="1"/>
  <c r="N50" i="1"/>
  <c r="L51" i="1"/>
  <c r="M51" i="1"/>
  <c r="N51" i="1"/>
  <c r="O51" i="1"/>
  <c r="P51" i="1"/>
  <c r="Q51" i="1"/>
  <c r="R51" i="1"/>
  <c r="S51" i="1"/>
  <c r="L52" i="1"/>
  <c r="P52" i="1" s="1"/>
  <c r="M52" i="1"/>
  <c r="S52" i="1" s="1"/>
  <c r="N52" i="1"/>
  <c r="O52" i="1"/>
  <c r="L53" i="1"/>
  <c r="M53" i="1"/>
  <c r="O53" i="1" s="1"/>
  <c r="N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P55" i="1" s="1"/>
  <c r="M55" i="1"/>
  <c r="O55" i="1" s="1"/>
  <c r="N55" i="1"/>
  <c r="L56" i="1"/>
  <c r="M56" i="1"/>
  <c r="N56" i="1"/>
  <c r="O56" i="1"/>
  <c r="P56" i="1"/>
  <c r="Q56" i="1"/>
  <c r="R56" i="1"/>
  <c r="S56" i="1"/>
  <c r="L57" i="1"/>
  <c r="P57" i="1" s="1"/>
  <c r="M57" i="1"/>
  <c r="S57" i="1" s="1"/>
  <c r="N57" i="1"/>
  <c r="O57" i="1"/>
  <c r="L58" i="1"/>
  <c r="M58" i="1"/>
  <c r="O58" i="1" s="1"/>
  <c r="N58" i="1"/>
  <c r="P58" i="1"/>
  <c r="Q58" i="1"/>
  <c r="R58" i="1"/>
  <c r="S58" i="1"/>
  <c r="L59" i="1"/>
  <c r="M59" i="1"/>
  <c r="N59" i="1"/>
  <c r="O59" i="1"/>
  <c r="P59" i="1"/>
  <c r="Q59" i="1"/>
  <c r="R59" i="1"/>
  <c r="S59" i="1"/>
  <c r="L60" i="1"/>
  <c r="P60" i="1" s="1"/>
  <c r="M60" i="1"/>
  <c r="O60" i="1" s="1"/>
  <c r="N60" i="1"/>
  <c r="L61" i="1"/>
  <c r="M61" i="1"/>
  <c r="N61" i="1"/>
  <c r="O61" i="1"/>
  <c r="P61" i="1"/>
  <c r="Q61" i="1"/>
  <c r="R61" i="1"/>
  <c r="S61" i="1"/>
  <c r="L62" i="1"/>
  <c r="P62" i="1" s="1"/>
  <c r="M62" i="1"/>
  <c r="S62" i="1" s="1"/>
  <c r="N62" i="1"/>
  <c r="O62" i="1"/>
  <c r="L63" i="1"/>
  <c r="M63" i="1"/>
  <c r="O63" i="1" s="1"/>
  <c r="N63" i="1"/>
  <c r="P63" i="1"/>
  <c r="Q63" i="1"/>
  <c r="R63" i="1"/>
  <c r="S63" i="1"/>
  <c r="L64" i="1"/>
  <c r="M64" i="1"/>
  <c r="N64" i="1"/>
  <c r="O64" i="1"/>
  <c r="P64" i="1"/>
  <c r="Q64" i="1"/>
  <c r="R64" i="1"/>
  <c r="S64" i="1"/>
  <c r="L65" i="1"/>
  <c r="P65" i="1" s="1"/>
  <c r="M65" i="1"/>
  <c r="O65" i="1" s="1"/>
  <c r="N65" i="1"/>
  <c r="L66" i="1"/>
  <c r="M66" i="1"/>
  <c r="N66" i="1"/>
  <c r="O66" i="1"/>
  <c r="P66" i="1"/>
  <c r="Q66" i="1"/>
  <c r="R66" i="1"/>
  <c r="S66" i="1"/>
  <c r="L67" i="1"/>
  <c r="P67" i="1" s="1"/>
  <c r="M67" i="1"/>
  <c r="S67" i="1" s="1"/>
  <c r="N67" i="1"/>
  <c r="O67" i="1"/>
  <c r="L68" i="1"/>
  <c r="M68" i="1"/>
  <c r="O68" i="1" s="1"/>
  <c r="N68" i="1"/>
  <c r="P68" i="1"/>
  <c r="Q68" i="1"/>
  <c r="R68" i="1"/>
  <c r="S68" i="1"/>
  <c r="L69" i="1"/>
  <c r="M69" i="1"/>
  <c r="N69" i="1"/>
  <c r="O69" i="1"/>
  <c r="P69" i="1"/>
  <c r="Q69" i="1"/>
  <c r="R69" i="1"/>
  <c r="S69" i="1"/>
  <c r="L70" i="1"/>
  <c r="P70" i="1" s="1"/>
  <c r="M70" i="1"/>
  <c r="O70" i="1" s="1"/>
  <c r="N70" i="1"/>
  <c r="L71" i="1"/>
  <c r="M71" i="1"/>
  <c r="N71" i="1"/>
  <c r="O71" i="1"/>
  <c r="P71" i="1"/>
  <c r="Q71" i="1"/>
  <c r="R71" i="1"/>
  <c r="S71" i="1"/>
  <c r="L72" i="1"/>
  <c r="P72" i="1" s="1"/>
  <c r="M72" i="1"/>
  <c r="S72" i="1" s="1"/>
  <c r="N72" i="1"/>
  <c r="O72" i="1"/>
  <c r="L73" i="1"/>
  <c r="M73" i="1"/>
  <c r="O73" i="1" s="1"/>
  <c r="N73" i="1"/>
  <c r="P73" i="1"/>
  <c r="Q73" i="1"/>
  <c r="R73" i="1"/>
  <c r="S73" i="1"/>
  <c r="L74" i="1"/>
  <c r="M74" i="1"/>
  <c r="N74" i="1"/>
  <c r="O74" i="1"/>
  <c r="P74" i="1"/>
  <c r="Q74" i="1"/>
  <c r="R74" i="1"/>
  <c r="S74" i="1"/>
  <c r="L75" i="1"/>
  <c r="P75" i="1" s="1"/>
  <c r="M75" i="1"/>
  <c r="O75" i="1" s="1"/>
  <c r="N75" i="1"/>
  <c r="L76" i="1"/>
  <c r="M76" i="1"/>
  <c r="N76" i="1"/>
  <c r="O76" i="1"/>
  <c r="P76" i="1"/>
  <c r="Q76" i="1"/>
  <c r="R76" i="1"/>
  <c r="S76" i="1"/>
  <c r="L77" i="1"/>
  <c r="P77" i="1" s="1"/>
  <c r="M77" i="1"/>
  <c r="S77" i="1" s="1"/>
  <c r="N77" i="1"/>
  <c r="O77" i="1"/>
  <c r="L78" i="1"/>
  <c r="M78" i="1"/>
  <c r="O78" i="1" s="1"/>
  <c r="N78" i="1"/>
  <c r="P78" i="1"/>
  <c r="Q78" i="1"/>
  <c r="R78" i="1"/>
  <c r="S78" i="1"/>
  <c r="L79" i="1"/>
  <c r="M79" i="1"/>
  <c r="N79" i="1"/>
  <c r="O79" i="1"/>
  <c r="P79" i="1"/>
  <c r="Q79" i="1"/>
  <c r="R79" i="1"/>
  <c r="S79" i="1"/>
  <c r="L80" i="1"/>
  <c r="P80" i="1" s="1"/>
  <c r="M80" i="1"/>
  <c r="O80" i="1" s="1"/>
  <c r="N80" i="1"/>
  <c r="L81" i="1"/>
  <c r="M81" i="1"/>
  <c r="N81" i="1"/>
  <c r="O81" i="1"/>
  <c r="P81" i="1"/>
  <c r="Q81" i="1"/>
  <c r="R81" i="1"/>
  <c r="S8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" i="1"/>
  <c r="L12" i="1"/>
  <c r="M12" i="1"/>
  <c r="N12" i="1"/>
  <c r="O12" i="1"/>
  <c r="S12" i="1"/>
  <c r="L10" i="1"/>
  <c r="M10" i="1"/>
  <c r="O10" i="1" s="1"/>
  <c r="N10" i="1"/>
  <c r="L26" i="1"/>
  <c r="M26" i="1"/>
  <c r="O26" i="1" s="1"/>
  <c r="N26" i="1"/>
  <c r="L11" i="1"/>
  <c r="M11" i="1"/>
  <c r="O11" i="1" s="1"/>
  <c r="N11" i="1"/>
  <c r="L19" i="1"/>
  <c r="M19" i="1"/>
  <c r="S19" i="1" s="1"/>
  <c r="N19" i="1"/>
  <c r="P19" i="1"/>
  <c r="L9" i="1"/>
  <c r="M9" i="1"/>
  <c r="O9" i="1" s="1"/>
  <c r="N9" i="1"/>
  <c r="L3" i="1"/>
  <c r="M3" i="1"/>
  <c r="S3" i="1" s="1"/>
  <c r="N3" i="1"/>
  <c r="L16" i="1"/>
  <c r="M16" i="1"/>
  <c r="S16" i="1" s="1"/>
  <c r="N16" i="1"/>
  <c r="P16" i="1"/>
  <c r="L14" i="1"/>
  <c r="M14" i="1"/>
  <c r="O14" i="1" s="1"/>
  <c r="N14" i="1"/>
  <c r="L17" i="1"/>
  <c r="M17" i="1"/>
  <c r="N17" i="1"/>
  <c r="O17" i="1"/>
  <c r="P17" i="1"/>
  <c r="S17" i="1"/>
  <c r="L21" i="1"/>
  <c r="M21" i="1"/>
  <c r="S21" i="1" s="1"/>
  <c r="N21" i="1"/>
  <c r="O21" i="1"/>
  <c r="L7" i="1"/>
  <c r="M7" i="1"/>
  <c r="O7" i="1" s="1"/>
  <c r="N7" i="1"/>
  <c r="P7" i="1"/>
  <c r="L23" i="1"/>
  <c r="M23" i="1"/>
  <c r="S23" i="1" s="1"/>
  <c r="N23" i="1"/>
  <c r="L15" i="1"/>
  <c r="M15" i="1"/>
  <c r="O15" i="1" s="1"/>
  <c r="N15" i="1"/>
  <c r="L2" i="1"/>
  <c r="M2" i="1"/>
  <c r="O2" i="1" s="1"/>
  <c r="N2" i="1"/>
  <c r="S2" i="1"/>
  <c r="L18" i="1"/>
  <c r="M18" i="1"/>
  <c r="O18" i="1" s="1"/>
  <c r="N18" i="1"/>
  <c r="L6" i="1"/>
  <c r="M6" i="1"/>
  <c r="S6" i="1" s="1"/>
  <c r="N6" i="1"/>
  <c r="L20" i="1"/>
  <c r="M20" i="1"/>
  <c r="O20" i="1" s="1"/>
  <c r="N20" i="1"/>
  <c r="L24" i="1"/>
  <c r="M24" i="1"/>
  <c r="N24" i="1"/>
  <c r="O24" i="1"/>
  <c r="P24" i="1"/>
  <c r="S24" i="1"/>
  <c r="L4" i="1"/>
  <c r="M4" i="1"/>
  <c r="O4" i="1" s="1"/>
  <c r="N4" i="1"/>
  <c r="L5" i="1"/>
  <c r="M5" i="1"/>
  <c r="O5" i="1" s="1"/>
  <c r="N5" i="1"/>
  <c r="S5" i="1"/>
  <c r="L13" i="1"/>
  <c r="M13" i="1"/>
  <c r="O13" i="1" s="1"/>
  <c r="N13" i="1"/>
  <c r="L8" i="1"/>
  <c r="M8" i="1"/>
  <c r="S8" i="1" s="1"/>
  <c r="N8" i="1"/>
  <c r="L22" i="1"/>
  <c r="M22" i="1"/>
  <c r="O22" i="1" s="1"/>
  <c r="N22" i="1"/>
  <c r="N25" i="1"/>
  <c r="M25" i="1"/>
  <c r="S25" i="1" s="1"/>
  <c r="L25" i="1"/>
  <c r="P25" i="1" s="1"/>
  <c r="S80" i="1" l="1"/>
  <c r="S75" i="1"/>
  <c r="S70" i="1"/>
  <c r="S65" i="1"/>
  <c r="S60" i="1"/>
  <c r="S55" i="1"/>
  <c r="S50" i="1"/>
  <c r="S45" i="1"/>
  <c r="S40" i="1"/>
  <c r="S35" i="1"/>
  <c r="S30" i="1"/>
  <c r="Q80" i="1"/>
  <c r="R80" i="1" s="1"/>
  <c r="Q75" i="1"/>
  <c r="R75" i="1" s="1"/>
  <c r="Q70" i="1"/>
  <c r="R70" i="1" s="1"/>
  <c r="Q65" i="1"/>
  <c r="R65" i="1" s="1"/>
  <c r="Q60" i="1"/>
  <c r="R60" i="1" s="1"/>
  <c r="Q55" i="1"/>
  <c r="R55" i="1" s="1"/>
  <c r="Q50" i="1"/>
  <c r="R50" i="1" s="1"/>
  <c r="Q45" i="1"/>
  <c r="R45" i="1" s="1"/>
  <c r="Q40" i="1"/>
  <c r="R40" i="1" s="1"/>
  <c r="Q35" i="1"/>
  <c r="R35" i="1" s="1"/>
  <c r="Q30" i="1"/>
  <c r="R30" i="1" s="1"/>
  <c r="Q77" i="1"/>
  <c r="R77" i="1" s="1"/>
  <c r="Q72" i="1"/>
  <c r="R72" i="1" s="1"/>
  <c r="Q67" i="1"/>
  <c r="R67" i="1" s="1"/>
  <c r="Q62" i="1"/>
  <c r="R62" i="1" s="1"/>
  <c r="Q57" i="1"/>
  <c r="R57" i="1" s="1"/>
  <c r="Q52" i="1"/>
  <c r="R52" i="1" s="1"/>
  <c r="Q47" i="1"/>
  <c r="R47" i="1" s="1"/>
  <c r="Q42" i="1"/>
  <c r="R42" i="1" s="1"/>
  <c r="Q37" i="1"/>
  <c r="R37" i="1" s="1"/>
  <c r="Q32" i="1"/>
  <c r="R32" i="1" s="1"/>
  <c r="Q27" i="1"/>
  <c r="R27" i="1" s="1"/>
  <c r="P26" i="1"/>
  <c r="P14" i="1"/>
  <c r="P23" i="1"/>
  <c r="P20" i="1"/>
  <c r="P13" i="1"/>
  <c r="O6" i="1"/>
  <c r="P10" i="1"/>
  <c r="P6" i="1"/>
  <c r="P18" i="1"/>
  <c r="P9" i="1"/>
  <c r="P3" i="1"/>
  <c r="P5" i="1"/>
  <c r="P12" i="1"/>
  <c r="P21" i="1"/>
  <c r="P4" i="1"/>
  <c r="O25" i="1"/>
  <c r="P2" i="1"/>
  <c r="P22" i="1"/>
  <c r="P15" i="1"/>
  <c r="P8" i="1"/>
  <c r="P11" i="1"/>
  <c r="S20" i="1"/>
  <c r="O23" i="1"/>
  <c r="O8" i="1"/>
  <c r="S13" i="1"/>
  <c r="S4" i="1"/>
  <c r="S18" i="1"/>
  <c r="S7" i="1"/>
  <c r="S14" i="1"/>
  <c r="O16" i="1"/>
  <c r="O3" i="1"/>
  <c r="S9" i="1"/>
  <c r="O19" i="1"/>
  <c r="S10" i="1"/>
  <c r="S26" i="1"/>
  <c r="S11" i="1"/>
  <c r="S22" i="1"/>
  <c r="S15" i="1"/>
</calcChain>
</file>

<file path=xl/sharedStrings.xml><?xml version="1.0" encoding="utf-8"?>
<sst xmlns="http://schemas.openxmlformats.org/spreadsheetml/2006/main" count="179" uniqueCount="175">
  <si>
    <t>Date</t>
  </si>
  <si>
    <t>HomeTeam</t>
  </si>
  <si>
    <t>AwayTeam</t>
  </si>
  <si>
    <t>HomeModelSpread</t>
  </si>
  <si>
    <t>AwayModelSpread</t>
  </si>
  <si>
    <t>ModelTotal</t>
  </si>
  <si>
    <t>HomeMarketSpread</t>
  </si>
  <si>
    <t>AwayMarketSpread</t>
  </si>
  <si>
    <t>MarketTotal</t>
  </si>
  <si>
    <t>ActualHomeScore</t>
  </si>
  <si>
    <t>ActualAwayScore</t>
  </si>
  <si>
    <t>ActualMargin</t>
  </si>
  <si>
    <t>ActualTotal</t>
  </si>
  <si>
    <t>ModelMargin</t>
  </si>
  <si>
    <t>ModelTotalError</t>
  </si>
  <si>
    <t>SpreadResidualTotal</t>
  </si>
  <si>
    <t>SpreadResidualHome</t>
  </si>
  <si>
    <t>SpreadResidualAway</t>
  </si>
  <si>
    <t>TotalResidual</t>
  </si>
  <si>
    <t>Kentucky</t>
  </si>
  <si>
    <t>Michigan St.</t>
  </si>
  <si>
    <t>UCF</t>
  </si>
  <si>
    <t>Oakland</t>
  </si>
  <si>
    <t>Georgia</t>
  </si>
  <si>
    <t>Florida A&amp;M</t>
  </si>
  <si>
    <t>Duke</t>
  </si>
  <si>
    <t>Kansas</t>
  </si>
  <si>
    <t>Oregon</t>
  </si>
  <si>
    <t>Oregon St.</t>
  </si>
  <si>
    <t>Arizona St.</t>
  </si>
  <si>
    <t>Georgia St.</t>
  </si>
  <si>
    <t>Missouri</t>
  </si>
  <si>
    <t>Prairie View A&amp;M</t>
  </si>
  <si>
    <t>Iowa St.</t>
  </si>
  <si>
    <t>Stonehill</t>
  </si>
  <si>
    <t>Penn</t>
  </si>
  <si>
    <t>Saint Joseph's</t>
  </si>
  <si>
    <t>Pittsburgh</t>
  </si>
  <si>
    <t>Bucknell</t>
  </si>
  <si>
    <t>West Virginia</t>
  </si>
  <si>
    <t>Lafayette</t>
  </si>
  <si>
    <t>UC Santa Barbara</t>
  </si>
  <si>
    <t>Loyola Marymount</t>
  </si>
  <si>
    <t>North Dakota St.</t>
  </si>
  <si>
    <t>Southern Illinois</t>
  </si>
  <si>
    <t>Charleston</t>
  </si>
  <si>
    <t>Drake</t>
  </si>
  <si>
    <t>Kansas St.</t>
  </si>
  <si>
    <t>Tulsa</t>
  </si>
  <si>
    <t>Gonzaga</t>
  </si>
  <si>
    <t>Southern Utah</t>
  </si>
  <si>
    <t>Clemson</t>
  </si>
  <si>
    <t>North Alabama</t>
  </si>
  <si>
    <t>Portland St.</t>
  </si>
  <si>
    <t>Cal St. Bakersfield</t>
  </si>
  <si>
    <t>Le Moyne</t>
  </si>
  <si>
    <t>Niagara</t>
  </si>
  <si>
    <t>Tennessee Tech</t>
  </si>
  <si>
    <t>West Georgia</t>
  </si>
  <si>
    <t>Colorado</t>
  </si>
  <si>
    <t>Alabama St.</t>
  </si>
  <si>
    <t>Wisconsin</t>
  </si>
  <si>
    <t>SIUE</t>
  </si>
  <si>
    <t>N.C. State</t>
  </si>
  <si>
    <t>VCU</t>
  </si>
  <si>
    <t>Tennessee</t>
  </si>
  <si>
    <t>Rice</t>
  </si>
  <si>
    <t>Siena</t>
  </si>
  <si>
    <t>Colgate</t>
  </si>
  <si>
    <t>Rutgers</t>
  </si>
  <si>
    <t>American</t>
  </si>
  <si>
    <t>Buffalo</t>
  </si>
  <si>
    <t>Vermont</t>
  </si>
  <si>
    <t>Boston College</t>
  </si>
  <si>
    <t>Hampton</t>
  </si>
  <si>
    <t>Columbia</t>
  </si>
  <si>
    <t>Boston University</t>
  </si>
  <si>
    <t>Brown</t>
  </si>
  <si>
    <t>Holy Cross</t>
  </si>
  <si>
    <t>Delaware</t>
  </si>
  <si>
    <t>Saint Peter's</t>
  </si>
  <si>
    <t>Detroit Mercy</t>
  </si>
  <si>
    <t>Eastern Michigan</t>
  </si>
  <si>
    <t>Drexel</t>
  </si>
  <si>
    <t>NJIT</t>
  </si>
  <si>
    <t>UNC Wilmington</t>
  </si>
  <si>
    <t>East Carolina</t>
  </si>
  <si>
    <t>Kent St.</t>
  </si>
  <si>
    <t>Eastern Kentucky</t>
  </si>
  <si>
    <t>Florida St.</t>
  </si>
  <si>
    <t>Tennessee Martin</t>
  </si>
  <si>
    <t>George Mason</t>
  </si>
  <si>
    <t>Jacksonville</t>
  </si>
  <si>
    <t>Iona</t>
  </si>
  <si>
    <t>Princeton</t>
  </si>
  <si>
    <t>James Madison</t>
  </si>
  <si>
    <t>Towson</t>
  </si>
  <si>
    <t>Lehigh</t>
  </si>
  <si>
    <t>Saint Francis</t>
  </si>
  <si>
    <t>Longwood</t>
  </si>
  <si>
    <t>Maryland Eastern Shore</t>
  </si>
  <si>
    <t>Morgan St.</t>
  </si>
  <si>
    <t>North Carolina A&amp;T</t>
  </si>
  <si>
    <t>North Carolina</t>
  </si>
  <si>
    <t>Navy</t>
  </si>
  <si>
    <t>Providence</t>
  </si>
  <si>
    <t>New Hampshire</t>
  </si>
  <si>
    <t>Seton Hall</t>
  </si>
  <si>
    <t>New Haven</t>
  </si>
  <si>
    <t>Xavier</t>
  </si>
  <si>
    <t>Old Dominion</t>
  </si>
  <si>
    <t>South Carolina</t>
  </si>
  <si>
    <t>Radford</t>
  </si>
  <si>
    <t>Georgia Tech</t>
  </si>
  <si>
    <t>Georgia Southern</t>
  </si>
  <si>
    <t>Texas St.</t>
  </si>
  <si>
    <t>Abilene Christian</t>
  </si>
  <si>
    <t>LSU</t>
  </si>
  <si>
    <t>Alcorn St.</t>
  </si>
  <si>
    <t>Arkansas</t>
  </si>
  <si>
    <t>Winthrop</t>
  </si>
  <si>
    <t>Murray St.</t>
  </si>
  <si>
    <t>Little Rock</t>
  </si>
  <si>
    <t>SMU</t>
  </si>
  <si>
    <t>Arkansas Pine Bluff</t>
  </si>
  <si>
    <t>Cornell</t>
  </si>
  <si>
    <t>Army</t>
  </si>
  <si>
    <t>Mississippi</t>
  </si>
  <si>
    <t>Austin Peay</t>
  </si>
  <si>
    <t>Minnesota</t>
  </si>
  <si>
    <t>Chicago St.</t>
  </si>
  <si>
    <t>DePaul</t>
  </si>
  <si>
    <t>Gardner Webb</t>
  </si>
  <si>
    <t>Evansville</t>
  </si>
  <si>
    <t>UT Arlington</t>
  </si>
  <si>
    <t>Texas A&amp;M</t>
  </si>
  <si>
    <t>Montana St.</t>
  </si>
  <si>
    <t>Northern Iowa</t>
  </si>
  <si>
    <t>Northern Illinois</t>
  </si>
  <si>
    <t>Yale</t>
  </si>
  <si>
    <t>Rhode Island</t>
  </si>
  <si>
    <t>Iowa</t>
  </si>
  <si>
    <t>Southeast Missouri</t>
  </si>
  <si>
    <t>Boise St.</t>
  </si>
  <si>
    <t>Wichita St.</t>
  </si>
  <si>
    <t>Utah</t>
  </si>
  <si>
    <t>Purdue Fort Wayne</t>
  </si>
  <si>
    <t>Fresno St.</t>
  </si>
  <si>
    <t>Stephen F. Austin</t>
  </si>
  <si>
    <t>San Diego</t>
  </si>
  <si>
    <t>Grambling St.</t>
  </si>
  <si>
    <t>Syracuse</t>
  </si>
  <si>
    <t>Monmouth</t>
  </si>
  <si>
    <t>Pepperdine</t>
  </si>
  <si>
    <t>New Orleans</t>
  </si>
  <si>
    <t>Texas</t>
  </si>
  <si>
    <t>Rider</t>
  </si>
  <si>
    <t>Washington</t>
  </si>
  <si>
    <t>Southern</t>
  </si>
  <si>
    <t>Cal Baptist</t>
  </si>
  <si>
    <t>UC Riverside</t>
  </si>
  <si>
    <t>California</t>
  </si>
  <si>
    <t>Presbyterian</t>
  </si>
  <si>
    <t>Santa Clara</t>
  </si>
  <si>
    <t>Idaho St.</t>
  </si>
  <si>
    <t>Stanford</t>
  </si>
  <si>
    <t>Louisiana</t>
  </si>
  <si>
    <t>Nevada</t>
  </si>
  <si>
    <t>UC Davis</t>
  </si>
  <si>
    <t>San Francisco</t>
  </si>
  <si>
    <t>Northwestern St.</t>
  </si>
  <si>
    <t>San Diego St.</t>
  </si>
  <si>
    <t>Troy</t>
  </si>
  <si>
    <t>UCLA</t>
  </si>
  <si>
    <t>Sacramento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</si>
</sst>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9915-696C-4A27-B53C-092F47ACA9DD}">
  <dimension ref="A1:S81"/>
  <sheetViews>
    <sheetView tabSelected="1" topLeftCell="E1" workbookViewId="0">
      <selection activeCell="J25" sqref="J25"/>
    </sheetView>
  </sheetViews>
  <sheetFormatPr defaultRowHeight="14.5" x14ac:dyDescent="0.35"/>
  <cols>
    <col min="1" max="1" width="10.08984375" bestFit="1" customWidth="1"/>
    <col min="2" max="2" width="15.54296875" bestFit="1" customWidth="1"/>
    <col min="3" max="3" width="15.7265625" bestFit="1" customWidth="1"/>
    <col min="4" max="4" width="16.54296875" bestFit="1" customWidth="1"/>
    <col min="5" max="5" width="16.08984375" bestFit="1" customWidth="1"/>
    <col min="6" max="6" width="9.81640625" bestFit="1" customWidth="1"/>
    <col min="7" max="7" width="17.1796875" bestFit="1" customWidth="1"/>
    <col min="8" max="8" width="16.54296875" bestFit="1" customWidth="1"/>
    <col min="9" max="9" width="10.36328125" bestFit="1" customWidth="1"/>
    <col min="10" max="10" width="15.453125" bestFit="1" customWidth="1"/>
    <col min="11" max="11" width="15" bestFit="1" customWidth="1"/>
    <col min="12" max="12" width="11.1796875" bestFit="1" customWidth="1"/>
    <col min="13" max="13" width="9.7265625" bestFit="1" customWidth="1"/>
    <col min="14" max="14" width="11.26953125" bestFit="1" customWidth="1"/>
    <col min="15" max="15" width="14" bestFit="1" customWidth="1"/>
    <col min="16" max="16" width="17.7265625" bestFit="1" customWidth="1"/>
    <col min="17" max="17" width="18.54296875" bestFit="1" customWidth="1"/>
    <col min="18" max="18" width="18.08984375" bestFit="1" customWidth="1"/>
    <col min="19" max="19" width="11.7265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45978</v>
      </c>
      <c r="B2" t="s">
        <v>49</v>
      </c>
      <c r="C2" t="s">
        <v>50</v>
      </c>
      <c r="D2">
        <v>-32.85</v>
      </c>
      <c r="E2">
        <v>32.85</v>
      </c>
      <c r="F2">
        <v>151.80000000000001</v>
      </c>
      <c r="G2">
        <v>-35.5</v>
      </c>
      <c r="H2">
        <v>35.5</v>
      </c>
      <c r="I2">
        <v>160.5</v>
      </c>
      <c r="J2">
        <v>122</v>
      </c>
      <c r="K2">
        <v>50</v>
      </c>
      <c r="L2">
        <f t="shared" ref="L2:L26" si="0">J2-K2</f>
        <v>72</v>
      </c>
      <c r="M2">
        <f t="shared" ref="M2:M26" si="1">J2+K2</f>
        <v>172</v>
      </c>
      <c r="N2">
        <f t="shared" ref="N2:N26" si="2">-D2</f>
        <v>32.85</v>
      </c>
      <c r="O2">
        <f t="shared" ref="O2:O26" si="3">M2-F2</f>
        <v>20.199999999999989</v>
      </c>
      <c r="P2">
        <f t="shared" ref="P2:P26" si="4">L2-N2</f>
        <v>39.15</v>
      </c>
      <c r="Q2">
        <f>L2+G2</f>
        <v>36.5</v>
      </c>
      <c r="R2">
        <f>-Q2</f>
        <v>-36.5</v>
      </c>
      <c r="S2">
        <f t="shared" ref="S2:S26" si="5">M2-I2</f>
        <v>11.5</v>
      </c>
    </row>
    <row r="3" spans="1:19" x14ac:dyDescent="0.35">
      <c r="A3" s="1">
        <v>45978</v>
      </c>
      <c r="B3" t="s">
        <v>33</v>
      </c>
      <c r="C3" t="s">
        <v>34</v>
      </c>
      <c r="D3">
        <v>-33.454999999999998</v>
      </c>
      <c r="E3">
        <v>33.454999999999998</v>
      </c>
      <c r="F3">
        <v>143</v>
      </c>
      <c r="G3">
        <v>-38.5</v>
      </c>
      <c r="H3">
        <v>38.5</v>
      </c>
      <c r="I3">
        <v>146.5</v>
      </c>
      <c r="J3">
        <v>96</v>
      </c>
      <c r="K3">
        <v>57</v>
      </c>
      <c r="L3">
        <f t="shared" si="0"/>
        <v>39</v>
      </c>
      <c r="M3">
        <f t="shared" si="1"/>
        <v>153</v>
      </c>
      <c r="N3">
        <f t="shared" si="2"/>
        <v>33.454999999999998</v>
      </c>
      <c r="O3">
        <f t="shared" si="3"/>
        <v>10</v>
      </c>
      <c r="P3">
        <f t="shared" si="4"/>
        <v>5.5450000000000017</v>
      </c>
      <c r="Q3">
        <f t="shared" ref="Q3:Q26" si="6">L3+G3</f>
        <v>0.5</v>
      </c>
      <c r="R3">
        <f t="shared" ref="R3:R26" si="7">-Q3</f>
        <v>-0.5</v>
      </c>
      <c r="S3">
        <f t="shared" si="5"/>
        <v>6.5</v>
      </c>
    </row>
    <row r="4" spans="1:19" x14ac:dyDescent="0.35">
      <c r="A4" s="1">
        <v>45978</v>
      </c>
      <c r="B4" t="s">
        <v>59</v>
      </c>
      <c r="C4" t="s">
        <v>60</v>
      </c>
      <c r="D4">
        <v>-19.7</v>
      </c>
      <c r="E4">
        <v>19.7</v>
      </c>
      <c r="F4">
        <v>144.80000000000001</v>
      </c>
      <c r="G4">
        <v>-20.5</v>
      </c>
      <c r="H4">
        <v>20.5</v>
      </c>
      <c r="I4">
        <v>152.5</v>
      </c>
      <c r="J4">
        <v>94</v>
      </c>
      <c r="K4">
        <v>66</v>
      </c>
      <c r="L4">
        <f t="shared" si="0"/>
        <v>28</v>
      </c>
      <c r="M4">
        <f t="shared" si="1"/>
        <v>160</v>
      </c>
      <c r="N4">
        <f t="shared" si="2"/>
        <v>19.7</v>
      </c>
      <c r="O4">
        <f t="shared" si="3"/>
        <v>15.199999999999989</v>
      </c>
      <c r="P4">
        <f t="shared" si="4"/>
        <v>8.3000000000000007</v>
      </c>
      <c r="Q4">
        <f t="shared" si="6"/>
        <v>7.5</v>
      </c>
      <c r="R4">
        <f t="shared" si="7"/>
        <v>-7.5</v>
      </c>
      <c r="S4">
        <f t="shared" si="5"/>
        <v>7.5</v>
      </c>
    </row>
    <row r="5" spans="1:19" x14ac:dyDescent="0.35">
      <c r="A5" s="1">
        <v>45978</v>
      </c>
      <c r="B5" t="s">
        <v>61</v>
      </c>
      <c r="C5" t="s">
        <v>62</v>
      </c>
      <c r="D5">
        <v>-24.869999999999902</v>
      </c>
      <c r="E5">
        <v>24.869999999999902</v>
      </c>
      <c r="F5">
        <v>143.6</v>
      </c>
      <c r="G5">
        <v>-25.5</v>
      </c>
      <c r="H5">
        <v>25.5</v>
      </c>
      <c r="I5">
        <v>143.5</v>
      </c>
      <c r="J5">
        <v>94</v>
      </c>
      <c r="K5">
        <v>69</v>
      </c>
      <c r="L5">
        <f t="shared" si="0"/>
        <v>25</v>
      </c>
      <c r="M5">
        <f t="shared" si="1"/>
        <v>163</v>
      </c>
      <c r="N5">
        <f t="shared" si="2"/>
        <v>24.869999999999902</v>
      </c>
      <c r="O5">
        <f t="shared" si="3"/>
        <v>19.400000000000006</v>
      </c>
      <c r="P5">
        <f t="shared" si="4"/>
        <v>0.13000000000009848</v>
      </c>
      <c r="Q5">
        <f t="shared" si="6"/>
        <v>-0.5</v>
      </c>
      <c r="R5">
        <f t="shared" si="7"/>
        <v>0.5</v>
      </c>
      <c r="S5">
        <f t="shared" si="5"/>
        <v>19.5</v>
      </c>
    </row>
    <row r="6" spans="1:19" x14ac:dyDescent="0.35">
      <c r="A6" s="1">
        <v>45978</v>
      </c>
      <c r="B6" t="s">
        <v>53</v>
      </c>
      <c r="C6" t="s">
        <v>54</v>
      </c>
      <c r="D6">
        <v>-8.33</v>
      </c>
      <c r="E6">
        <v>8.33</v>
      </c>
      <c r="F6">
        <v>137.69999999999999</v>
      </c>
      <c r="G6">
        <v>-6.5</v>
      </c>
      <c r="H6">
        <v>6.5</v>
      </c>
      <c r="I6">
        <v>145.5</v>
      </c>
      <c r="J6">
        <v>93</v>
      </c>
      <c r="K6">
        <v>80</v>
      </c>
      <c r="L6">
        <f t="shared" si="0"/>
        <v>13</v>
      </c>
      <c r="M6">
        <f t="shared" si="1"/>
        <v>173</v>
      </c>
      <c r="N6">
        <f t="shared" si="2"/>
        <v>8.33</v>
      </c>
      <c r="O6">
        <f t="shared" si="3"/>
        <v>35.300000000000011</v>
      </c>
      <c r="P6">
        <f t="shared" si="4"/>
        <v>4.67</v>
      </c>
      <c r="Q6">
        <f t="shared" si="6"/>
        <v>6.5</v>
      </c>
      <c r="R6">
        <f t="shared" si="7"/>
        <v>-6.5</v>
      </c>
      <c r="S6">
        <f t="shared" si="5"/>
        <v>27.5</v>
      </c>
    </row>
    <row r="7" spans="1:19" x14ac:dyDescent="0.35">
      <c r="A7" s="1">
        <v>45978</v>
      </c>
      <c r="B7" t="s">
        <v>43</v>
      </c>
      <c r="C7" t="s">
        <v>44</v>
      </c>
      <c r="D7">
        <v>4.4800000000000004</v>
      </c>
      <c r="E7">
        <v>-4.4800000000000004</v>
      </c>
      <c r="F7">
        <v>143.9</v>
      </c>
      <c r="G7">
        <v>1.5</v>
      </c>
      <c r="H7">
        <v>-1.5</v>
      </c>
      <c r="I7">
        <v>154.5</v>
      </c>
      <c r="J7">
        <v>92</v>
      </c>
      <c r="K7">
        <v>85</v>
      </c>
      <c r="L7">
        <f t="shared" si="0"/>
        <v>7</v>
      </c>
      <c r="M7">
        <f t="shared" si="1"/>
        <v>177</v>
      </c>
      <c r="N7">
        <f t="shared" si="2"/>
        <v>-4.4800000000000004</v>
      </c>
      <c r="O7">
        <f t="shared" si="3"/>
        <v>33.099999999999994</v>
      </c>
      <c r="P7">
        <f t="shared" si="4"/>
        <v>11.48</v>
      </c>
      <c r="Q7">
        <f t="shared" si="6"/>
        <v>8.5</v>
      </c>
      <c r="R7">
        <f t="shared" si="7"/>
        <v>-8.5</v>
      </c>
      <c r="S7">
        <f t="shared" si="5"/>
        <v>22.5</v>
      </c>
    </row>
    <row r="8" spans="1:19" x14ac:dyDescent="0.35">
      <c r="A8" s="1">
        <v>45978</v>
      </c>
      <c r="B8" t="s">
        <v>65</v>
      </c>
      <c r="C8" t="s">
        <v>66</v>
      </c>
      <c r="D8">
        <v>-26.02</v>
      </c>
      <c r="E8">
        <v>26.02</v>
      </c>
      <c r="F8">
        <v>144.30000000000001</v>
      </c>
      <c r="G8">
        <v>-26.5</v>
      </c>
      <c r="H8">
        <v>26.5</v>
      </c>
      <c r="I8">
        <v>142.5</v>
      </c>
      <c r="J8">
        <v>91</v>
      </c>
      <c r="K8">
        <v>66</v>
      </c>
      <c r="L8">
        <f t="shared" si="0"/>
        <v>25</v>
      </c>
      <c r="M8">
        <f t="shared" si="1"/>
        <v>157</v>
      </c>
      <c r="N8">
        <f t="shared" si="2"/>
        <v>26.02</v>
      </c>
      <c r="O8">
        <f t="shared" si="3"/>
        <v>12.699999999999989</v>
      </c>
      <c r="P8">
        <f t="shared" si="4"/>
        <v>-1.0199999999999996</v>
      </c>
      <c r="Q8">
        <f t="shared" si="6"/>
        <v>-1.5</v>
      </c>
      <c r="R8">
        <f t="shared" si="7"/>
        <v>1.5</v>
      </c>
      <c r="S8">
        <f t="shared" si="5"/>
        <v>14.5</v>
      </c>
    </row>
    <row r="9" spans="1:19" x14ac:dyDescent="0.35">
      <c r="A9" s="1">
        <v>45978</v>
      </c>
      <c r="B9" t="s">
        <v>31</v>
      </c>
      <c r="C9" t="s">
        <v>32</v>
      </c>
      <c r="D9">
        <v>-30.434999999999999</v>
      </c>
      <c r="E9">
        <v>30.434999999999999</v>
      </c>
      <c r="F9">
        <v>148.9</v>
      </c>
      <c r="G9">
        <v>-35.5</v>
      </c>
      <c r="H9">
        <v>35.5</v>
      </c>
      <c r="I9">
        <v>163.5</v>
      </c>
      <c r="J9">
        <v>91</v>
      </c>
      <c r="K9">
        <v>73</v>
      </c>
      <c r="L9">
        <f t="shared" si="0"/>
        <v>18</v>
      </c>
      <c r="M9">
        <f t="shared" si="1"/>
        <v>164</v>
      </c>
      <c r="N9">
        <f t="shared" si="2"/>
        <v>30.434999999999999</v>
      </c>
      <c r="O9">
        <f t="shared" si="3"/>
        <v>15.099999999999994</v>
      </c>
      <c r="P9">
        <f t="shared" si="4"/>
        <v>-12.434999999999999</v>
      </c>
      <c r="Q9">
        <f t="shared" si="6"/>
        <v>-17.5</v>
      </c>
      <c r="R9">
        <f t="shared" si="7"/>
        <v>17.5</v>
      </c>
      <c r="S9">
        <f t="shared" si="5"/>
        <v>0.5</v>
      </c>
    </row>
    <row r="10" spans="1:19" x14ac:dyDescent="0.35">
      <c r="A10" s="1">
        <v>45978</v>
      </c>
      <c r="B10" t="s">
        <v>23</v>
      </c>
      <c r="C10" t="s">
        <v>24</v>
      </c>
      <c r="D10">
        <v>-31.254999999999999</v>
      </c>
      <c r="E10">
        <v>31.254999999999999</v>
      </c>
      <c r="F10">
        <v>148.69999999999999</v>
      </c>
      <c r="G10">
        <v>-38.5</v>
      </c>
      <c r="H10">
        <v>38.5</v>
      </c>
      <c r="I10">
        <v>172.5</v>
      </c>
      <c r="J10">
        <v>87</v>
      </c>
      <c r="K10">
        <v>57</v>
      </c>
      <c r="L10">
        <f t="shared" si="0"/>
        <v>30</v>
      </c>
      <c r="M10">
        <f t="shared" si="1"/>
        <v>144</v>
      </c>
      <c r="N10">
        <f t="shared" si="2"/>
        <v>31.254999999999999</v>
      </c>
      <c r="O10">
        <f t="shared" si="3"/>
        <v>-4.6999999999999886</v>
      </c>
      <c r="P10">
        <f t="shared" si="4"/>
        <v>-1.254999999999999</v>
      </c>
      <c r="Q10">
        <f t="shared" si="6"/>
        <v>-8.5</v>
      </c>
      <c r="R10">
        <f t="shared" si="7"/>
        <v>8.5</v>
      </c>
      <c r="S10">
        <f t="shared" si="5"/>
        <v>-28.5</v>
      </c>
    </row>
    <row r="11" spans="1:19" x14ac:dyDescent="0.35">
      <c r="A11" s="1">
        <v>45978</v>
      </c>
      <c r="B11" t="s">
        <v>27</v>
      </c>
      <c r="C11" t="s">
        <v>28</v>
      </c>
      <c r="D11">
        <v>-18.045000000000002</v>
      </c>
      <c r="E11">
        <v>18.045000000000002</v>
      </c>
      <c r="F11">
        <v>143.9</v>
      </c>
      <c r="G11">
        <v>-12.5</v>
      </c>
      <c r="H11">
        <v>12.5</v>
      </c>
      <c r="I11">
        <v>141.5</v>
      </c>
      <c r="J11">
        <v>87</v>
      </c>
      <c r="K11">
        <v>75</v>
      </c>
      <c r="L11">
        <f t="shared" si="0"/>
        <v>12</v>
      </c>
      <c r="M11">
        <f t="shared" si="1"/>
        <v>162</v>
      </c>
      <c r="N11">
        <f t="shared" si="2"/>
        <v>18.045000000000002</v>
      </c>
      <c r="O11">
        <f t="shared" si="3"/>
        <v>18.099999999999994</v>
      </c>
      <c r="P11">
        <f t="shared" si="4"/>
        <v>-6.0450000000000017</v>
      </c>
      <c r="Q11">
        <f t="shared" si="6"/>
        <v>-0.5</v>
      </c>
      <c r="R11">
        <f t="shared" si="7"/>
        <v>0.5</v>
      </c>
      <c r="S11">
        <f t="shared" si="5"/>
        <v>20.5</v>
      </c>
    </row>
    <row r="12" spans="1:19" x14ac:dyDescent="0.35">
      <c r="A12" s="1">
        <v>45978</v>
      </c>
      <c r="B12" t="s">
        <v>21</v>
      </c>
      <c r="C12" t="s">
        <v>22</v>
      </c>
      <c r="D12">
        <v>-20.074999999999999</v>
      </c>
      <c r="E12">
        <v>20.074999999999999</v>
      </c>
      <c r="F12">
        <v>150.5</v>
      </c>
      <c r="G12">
        <v>-12.5</v>
      </c>
      <c r="H12">
        <v>12.5</v>
      </c>
      <c r="I12">
        <v>160.5</v>
      </c>
      <c r="J12">
        <v>87</v>
      </c>
      <c r="K12">
        <v>83</v>
      </c>
      <c r="L12">
        <f t="shared" si="0"/>
        <v>4</v>
      </c>
      <c r="M12">
        <f t="shared" si="1"/>
        <v>170</v>
      </c>
      <c r="N12">
        <f t="shared" si="2"/>
        <v>20.074999999999999</v>
      </c>
      <c r="O12">
        <f t="shared" si="3"/>
        <v>19.5</v>
      </c>
      <c r="P12">
        <f t="shared" si="4"/>
        <v>-16.074999999999999</v>
      </c>
      <c r="Q12">
        <f t="shared" si="6"/>
        <v>-8.5</v>
      </c>
      <c r="R12">
        <f t="shared" si="7"/>
        <v>8.5</v>
      </c>
      <c r="S12">
        <f t="shared" si="5"/>
        <v>9.5</v>
      </c>
    </row>
    <row r="13" spans="1:19" x14ac:dyDescent="0.35">
      <c r="A13" s="1">
        <v>45978</v>
      </c>
      <c r="B13" t="s">
        <v>63</v>
      </c>
      <c r="C13" t="s">
        <v>64</v>
      </c>
      <c r="D13">
        <v>-12.99</v>
      </c>
      <c r="E13">
        <v>12.99</v>
      </c>
      <c r="F13">
        <v>158.4</v>
      </c>
      <c r="G13">
        <v>-12.5</v>
      </c>
      <c r="H13">
        <v>12.5</v>
      </c>
      <c r="I13">
        <v>165.5</v>
      </c>
      <c r="J13">
        <v>85</v>
      </c>
      <c r="K13">
        <v>79</v>
      </c>
      <c r="L13">
        <f t="shared" si="0"/>
        <v>6</v>
      </c>
      <c r="M13">
        <f t="shared" si="1"/>
        <v>164</v>
      </c>
      <c r="N13">
        <f t="shared" si="2"/>
        <v>12.99</v>
      </c>
      <c r="O13">
        <f t="shared" si="3"/>
        <v>5.5999999999999943</v>
      </c>
      <c r="P13">
        <f t="shared" si="4"/>
        <v>-6.99</v>
      </c>
      <c r="Q13">
        <f t="shared" si="6"/>
        <v>-6.5</v>
      </c>
      <c r="R13">
        <f t="shared" si="7"/>
        <v>6.5</v>
      </c>
      <c r="S13">
        <f t="shared" si="5"/>
        <v>-1.5</v>
      </c>
    </row>
    <row r="14" spans="1:19" x14ac:dyDescent="0.35">
      <c r="A14" s="1">
        <v>45978</v>
      </c>
      <c r="B14" t="s">
        <v>37</v>
      </c>
      <c r="C14" t="s">
        <v>38</v>
      </c>
      <c r="D14">
        <v>-20.84</v>
      </c>
      <c r="E14">
        <v>20.84</v>
      </c>
      <c r="F14">
        <v>138.1</v>
      </c>
      <c r="G14">
        <v>-16.5</v>
      </c>
      <c r="H14">
        <v>16.5</v>
      </c>
      <c r="I14">
        <v>142.5</v>
      </c>
      <c r="J14">
        <v>84</v>
      </c>
      <c r="K14">
        <v>50</v>
      </c>
      <c r="L14">
        <f t="shared" si="0"/>
        <v>34</v>
      </c>
      <c r="M14">
        <f t="shared" si="1"/>
        <v>134</v>
      </c>
      <c r="N14">
        <f t="shared" si="2"/>
        <v>20.84</v>
      </c>
      <c r="O14">
        <f t="shared" si="3"/>
        <v>-4.0999999999999943</v>
      </c>
      <c r="P14">
        <f t="shared" si="4"/>
        <v>13.16</v>
      </c>
      <c r="Q14">
        <f t="shared" si="6"/>
        <v>17.5</v>
      </c>
      <c r="R14">
        <f t="shared" si="7"/>
        <v>-17.5</v>
      </c>
      <c r="S14">
        <f t="shared" si="5"/>
        <v>-8.5</v>
      </c>
    </row>
    <row r="15" spans="1:19" x14ac:dyDescent="0.35">
      <c r="A15" s="1">
        <v>45978</v>
      </c>
      <c r="B15" t="s">
        <v>47</v>
      </c>
      <c r="C15" t="s">
        <v>48</v>
      </c>
      <c r="D15">
        <v>-15.16</v>
      </c>
      <c r="E15">
        <v>15.16</v>
      </c>
      <c r="F15">
        <v>153.4</v>
      </c>
      <c r="G15">
        <v>-12.5</v>
      </c>
      <c r="H15">
        <v>12.5</v>
      </c>
      <c r="I15">
        <v>161.5</v>
      </c>
      <c r="J15">
        <v>84</v>
      </c>
      <c r="K15">
        <v>83</v>
      </c>
      <c r="L15">
        <f t="shared" si="0"/>
        <v>1</v>
      </c>
      <c r="M15">
        <f t="shared" si="1"/>
        <v>167</v>
      </c>
      <c r="N15">
        <f t="shared" si="2"/>
        <v>15.16</v>
      </c>
      <c r="O15">
        <f t="shared" si="3"/>
        <v>13.599999999999994</v>
      </c>
      <c r="P15">
        <f t="shared" si="4"/>
        <v>-14.16</v>
      </c>
      <c r="Q15">
        <f t="shared" si="6"/>
        <v>-11.5</v>
      </c>
      <c r="R15">
        <f t="shared" si="7"/>
        <v>11.5</v>
      </c>
      <c r="S15">
        <f t="shared" si="5"/>
        <v>5.5</v>
      </c>
    </row>
    <row r="16" spans="1:19" x14ac:dyDescent="0.35">
      <c r="A16" s="1">
        <v>45978</v>
      </c>
      <c r="B16" t="s">
        <v>35</v>
      </c>
      <c r="C16" t="s">
        <v>36</v>
      </c>
      <c r="D16">
        <v>10.11</v>
      </c>
      <c r="E16">
        <v>-10.11</v>
      </c>
      <c r="F16">
        <v>144.1</v>
      </c>
      <c r="G16">
        <v>5.5</v>
      </c>
      <c r="H16">
        <v>-5.5</v>
      </c>
      <c r="I16">
        <v>163.5</v>
      </c>
      <c r="J16">
        <v>83</v>
      </c>
      <c r="K16">
        <v>74</v>
      </c>
      <c r="L16">
        <f t="shared" si="0"/>
        <v>9</v>
      </c>
      <c r="M16">
        <f t="shared" si="1"/>
        <v>157</v>
      </c>
      <c r="N16">
        <f t="shared" si="2"/>
        <v>-10.11</v>
      </c>
      <c r="O16">
        <f t="shared" si="3"/>
        <v>12.900000000000006</v>
      </c>
      <c r="P16">
        <f t="shared" si="4"/>
        <v>19.11</v>
      </c>
      <c r="Q16">
        <f t="shared" si="6"/>
        <v>14.5</v>
      </c>
      <c r="R16">
        <f t="shared" si="7"/>
        <v>-14.5</v>
      </c>
      <c r="S16">
        <f t="shared" si="5"/>
        <v>-6.5</v>
      </c>
    </row>
    <row r="17" spans="1:19" x14ac:dyDescent="0.35">
      <c r="A17" s="1">
        <v>45978</v>
      </c>
      <c r="B17" t="s">
        <v>39</v>
      </c>
      <c r="C17" t="s">
        <v>40</v>
      </c>
      <c r="D17">
        <v>-26.934999999999999</v>
      </c>
      <c r="E17">
        <v>26.934999999999999</v>
      </c>
      <c r="F17">
        <v>135.19999999999999</v>
      </c>
      <c r="G17">
        <v>-23.5</v>
      </c>
      <c r="H17">
        <v>23.5</v>
      </c>
      <c r="I17">
        <v>133.5</v>
      </c>
      <c r="J17">
        <v>81</v>
      </c>
      <c r="K17">
        <v>59</v>
      </c>
      <c r="L17">
        <f t="shared" si="0"/>
        <v>22</v>
      </c>
      <c r="M17">
        <f t="shared" si="1"/>
        <v>140</v>
      </c>
      <c r="N17">
        <f t="shared" si="2"/>
        <v>26.934999999999999</v>
      </c>
      <c r="O17">
        <f t="shared" si="3"/>
        <v>4.8000000000000114</v>
      </c>
      <c r="P17">
        <f t="shared" si="4"/>
        <v>-4.9349999999999987</v>
      </c>
      <c r="Q17">
        <f t="shared" si="6"/>
        <v>-1.5</v>
      </c>
      <c r="R17">
        <f t="shared" si="7"/>
        <v>1.5</v>
      </c>
      <c r="S17">
        <f t="shared" si="5"/>
        <v>6.5</v>
      </c>
    </row>
    <row r="18" spans="1:19" x14ac:dyDescent="0.35">
      <c r="A18" s="1">
        <v>45978</v>
      </c>
      <c r="B18" t="s">
        <v>51</v>
      </c>
      <c r="C18" t="s">
        <v>52</v>
      </c>
      <c r="D18">
        <v>-26.09</v>
      </c>
      <c r="E18">
        <v>26.09</v>
      </c>
      <c r="F18">
        <v>144.69999999999999</v>
      </c>
      <c r="G18">
        <v>-23.5</v>
      </c>
      <c r="H18">
        <v>23.5</v>
      </c>
      <c r="I18">
        <v>144.5</v>
      </c>
      <c r="J18">
        <v>81</v>
      </c>
      <c r="K18">
        <v>61</v>
      </c>
      <c r="L18">
        <f t="shared" si="0"/>
        <v>20</v>
      </c>
      <c r="M18">
        <f t="shared" si="1"/>
        <v>142</v>
      </c>
      <c r="N18">
        <f t="shared" si="2"/>
        <v>26.09</v>
      </c>
      <c r="O18">
        <f t="shared" si="3"/>
        <v>-2.6999999999999886</v>
      </c>
      <c r="P18">
        <f t="shared" si="4"/>
        <v>-6.09</v>
      </c>
      <c r="Q18">
        <f t="shared" si="6"/>
        <v>-3.5</v>
      </c>
      <c r="R18">
        <f t="shared" si="7"/>
        <v>3.5</v>
      </c>
      <c r="S18">
        <f t="shared" si="5"/>
        <v>-2.5</v>
      </c>
    </row>
    <row r="19" spans="1:19" x14ac:dyDescent="0.35">
      <c r="A19" s="1">
        <v>45978</v>
      </c>
      <c r="B19" t="s">
        <v>29</v>
      </c>
      <c r="C19" t="s">
        <v>30</v>
      </c>
      <c r="D19">
        <v>-22.95</v>
      </c>
      <c r="E19">
        <v>22.95</v>
      </c>
      <c r="F19">
        <v>139.19999999999999</v>
      </c>
      <c r="G19">
        <v>-17.5</v>
      </c>
      <c r="H19">
        <v>17.5</v>
      </c>
      <c r="I19">
        <v>143.5</v>
      </c>
      <c r="J19">
        <v>75</v>
      </c>
      <c r="K19">
        <v>62</v>
      </c>
      <c r="L19">
        <f t="shared" si="0"/>
        <v>13</v>
      </c>
      <c r="M19">
        <f t="shared" si="1"/>
        <v>137</v>
      </c>
      <c r="N19">
        <f t="shared" si="2"/>
        <v>22.95</v>
      </c>
      <c r="O19">
        <f t="shared" si="3"/>
        <v>-2.1999999999999886</v>
      </c>
      <c r="P19">
        <f t="shared" si="4"/>
        <v>-9.9499999999999993</v>
      </c>
      <c r="Q19">
        <f t="shared" si="6"/>
        <v>-4.5</v>
      </c>
      <c r="R19">
        <f t="shared" si="7"/>
        <v>4.5</v>
      </c>
      <c r="S19">
        <f t="shared" si="5"/>
        <v>-6.5</v>
      </c>
    </row>
    <row r="20" spans="1:19" x14ac:dyDescent="0.35">
      <c r="A20" s="1">
        <v>45978</v>
      </c>
      <c r="B20" t="s">
        <v>55</v>
      </c>
      <c r="C20" t="s">
        <v>56</v>
      </c>
      <c r="D20">
        <v>-0.19</v>
      </c>
      <c r="E20">
        <v>0.19</v>
      </c>
      <c r="F20">
        <v>129.30000000000001</v>
      </c>
      <c r="G20">
        <v>1.5</v>
      </c>
      <c r="H20">
        <v>-1.5</v>
      </c>
      <c r="I20">
        <v>140.5</v>
      </c>
      <c r="J20">
        <v>74</v>
      </c>
      <c r="K20">
        <v>68</v>
      </c>
      <c r="L20">
        <f t="shared" si="0"/>
        <v>6</v>
      </c>
      <c r="M20">
        <f t="shared" si="1"/>
        <v>142</v>
      </c>
      <c r="N20">
        <f t="shared" si="2"/>
        <v>0.19</v>
      </c>
      <c r="O20">
        <f t="shared" si="3"/>
        <v>12.699999999999989</v>
      </c>
      <c r="P20">
        <f t="shared" si="4"/>
        <v>5.81</v>
      </c>
      <c r="Q20">
        <f t="shared" si="6"/>
        <v>7.5</v>
      </c>
      <c r="R20">
        <f t="shared" si="7"/>
        <v>-7.5</v>
      </c>
      <c r="S20">
        <f t="shared" si="5"/>
        <v>1.5</v>
      </c>
    </row>
    <row r="21" spans="1:19" x14ac:dyDescent="0.35">
      <c r="A21" s="1">
        <v>45978</v>
      </c>
      <c r="B21" t="s">
        <v>41</v>
      </c>
      <c r="C21" t="s">
        <v>42</v>
      </c>
      <c r="D21">
        <v>-0.23</v>
      </c>
      <c r="E21">
        <v>0.23</v>
      </c>
      <c r="F21">
        <v>143.30000000000001</v>
      </c>
      <c r="G21">
        <v>-3.5</v>
      </c>
      <c r="H21">
        <v>3.5</v>
      </c>
      <c r="I21">
        <v>143.5</v>
      </c>
      <c r="J21">
        <v>74</v>
      </c>
      <c r="K21">
        <v>78</v>
      </c>
      <c r="L21">
        <f t="shared" si="0"/>
        <v>-4</v>
      </c>
      <c r="M21">
        <f t="shared" si="1"/>
        <v>152</v>
      </c>
      <c r="N21">
        <f t="shared" si="2"/>
        <v>0.23</v>
      </c>
      <c r="O21">
        <f t="shared" si="3"/>
        <v>8.6999999999999886</v>
      </c>
      <c r="P21">
        <f t="shared" si="4"/>
        <v>-4.2300000000000004</v>
      </c>
      <c r="Q21">
        <f t="shared" si="6"/>
        <v>-7.5</v>
      </c>
      <c r="R21">
        <f t="shared" si="7"/>
        <v>7.5</v>
      </c>
      <c r="S21">
        <f t="shared" si="5"/>
        <v>8.5</v>
      </c>
    </row>
    <row r="22" spans="1:19" x14ac:dyDescent="0.35">
      <c r="A22" s="1">
        <v>45978</v>
      </c>
      <c r="B22" t="s">
        <v>67</v>
      </c>
      <c r="C22" t="s">
        <v>68</v>
      </c>
      <c r="D22">
        <v>-5.46</v>
      </c>
      <c r="E22">
        <v>5.46</v>
      </c>
      <c r="F22">
        <v>138.1</v>
      </c>
      <c r="G22">
        <v>-5.5</v>
      </c>
      <c r="H22">
        <v>5.5</v>
      </c>
      <c r="I22">
        <v>151.5</v>
      </c>
      <c r="J22">
        <v>69</v>
      </c>
      <c r="K22">
        <v>72</v>
      </c>
      <c r="L22">
        <f t="shared" si="0"/>
        <v>-3</v>
      </c>
      <c r="M22">
        <f t="shared" si="1"/>
        <v>141</v>
      </c>
      <c r="N22">
        <f t="shared" si="2"/>
        <v>5.46</v>
      </c>
      <c r="O22">
        <f t="shared" si="3"/>
        <v>2.9000000000000057</v>
      </c>
      <c r="P22">
        <f t="shared" si="4"/>
        <v>-8.4600000000000009</v>
      </c>
      <c r="Q22">
        <f t="shared" si="6"/>
        <v>-8.5</v>
      </c>
      <c r="R22">
        <f t="shared" si="7"/>
        <v>8.5</v>
      </c>
      <c r="S22">
        <f t="shared" si="5"/>
        <v>-10.5</v>
      </c>
    </row>
    <row r="23" spans="1:19" x14ac:dyDescent="0.35">
      <c r="A23" s="1">
        <v>45978</v>
      </c>
      <c r="B23" t="s">
        <v>45</v>
      </c>
      <c r="C23" t="s">
        <v>46</v>
      </c>
      <c r="D23">
        <v>-2.59</v>
      </c>
      <c r="E23">
        <v>2.59</v>
      </c>
      <c r="F23">
        <v>141.6</v>
      </c>
      <c r="G23">
        <v>-5.5</v>
      </c>
      <c r="H23">
        <v>5.5</v>
      </c>
      <c r="I23">
        <v>147.5</v>
      </c>
      <c r="J23">
        <v>62</v>
      </c>
      <c r="K23">
        <v>71</v>
      </c>
      <c r="L23">
        <f t="shared" si="0"/>
        <v>-9</v>
      </c>
      <c r="M23">
        <f t="shared" si="1"/>
        <v>133</v>
      </c>
      <c r="N23">
        <f t="shared" si="2"/>
        <v>2.59</v>
      </c>
      <c r="O23">
        <f t="shared" si="3"/>
        <v>-8.5999999999999943</v>
      </c>
      <c r="P23">
        <f t="shared" si="4"/>
        <v>-11.59</v>
      </c>
      <c r="Q23">
        <f t="shared" si="6"/>
        <v>-14.5</v>
      </c>
      <c r="R23">
        <f t="shared" si="7"/>
        <v>14.5</v>
      </c>
      <c r="S23">
        <f t="shared" si="5"/>
        <v>-14.5</v>
      </c>
    </row>
    <row r="24" spans="1:19" x14ac:dyDescent="0.35">
      <c r="A24" s="1">
        <v>45978</v>
      </c>
      <c r="B24" t="s">
        <v>57</v>
      </c>
      <c r="C24" t="s">
        <v>58</v>
      </c>
      <c r="D24">
        <v>-1.91</v>
      </c>
      <c r="E24">
        <v>1.91</v>
      </c>
      <c r="F24">
        <v>135.69999999999999</v>
      </c>
      <c r="G24">
        <v>-3.5</v>
      </c>
      <c r="H24">
        <v>3.5</v>
      </c>
      <c r="I24">
        <v>150.5</v>
      </c>
      <c r="J24">
        <v>59</v>
      </c>
      <c r="K24">
        <v>61</v>
      </c>
      <c r="L24">
        <f t="shared" si="0"/>
        <v>-2</v>
      </c>
      <c r="M24">
        <f t="shared" si="1"/>
        <v>120</v>
      </c>
      <c r="N24">
        <f t="shared" si="2"/>
        <v>1.91</v>
      </c>
      <c r="O24">
        <f t="shared" si="3"/>
        <v>-15.699999999999989</v>
      </c>
      <c r="P24">
        <f t="shared" si="4"/>
        <v>-3.91</v>
      </c>
      <c r="Q24">
        <f t="shared" si="6"/>
        <v>-5.5</v>
      </c>
      <c r="R24">
        <f t="shared" si="7"/>
        <v>5.5</v>
      </c>
      <c r="S24">
        <f t="shared" si="5"/>
        <v>-30.5</v>
      </c>
    </row>
    <row r="25" spans="1:19" x14ac:dyDescent="0.35">
      <c r="A25" s="1">
        <v>45979</v>
      </c>
      <c r="B25" t="s">
        <v>19</v>
      </c>
      <c r="C25" t="s">
        <v>20</v>
      </c>
      <c r="D25">
        <v>-14.18</v>
      </c>
      <c r="E25">
        <v>14.18</v>
      </c>
      <c r="F25">
        <v>158.6</v>
      </c>
      <c r="G25">
        <v>-5.5</v>
      </c>
      <c r="H25">
        <v>5.5</v>
      </c>
      <c r="I25">
        <v>154.5</v>
      </c>
      <c r="L25">
        <f t="shared" si="0"/>
        <v>0</v>
      </c>
      <c r="M25">
        <f t="shared" si="1"/>
        <v>0</v>
      </c>
      <c r="N25">
        <f t="shared" si="2"/>
        <v>14.18</v>
      </c>
      <c r="O25">
        <f t="shared" si="3"/>
        <v>-158.6</v>
      </c>
      <c r="P25">
        <f t="shared" si="4"/>
        <v>-14.18</v>
      </c>
      <c r="Q25">
        <f t="shared" si="6"/>
        <v>-5.5</v>
      </c>
      <c r="R25">
        <f t="shared" si="7"/>
        <v>5.5</v>
      </c>
      <c r="S25">
        <f t="shared" si="5"/>
        <v>-154.5</v>
      </c>
    </row>
    <row r="26" spans="1:19" x14ac:dyDescent="0.35">
      <c r="A26" s="1">
        <v>45979</v>
      </c>
      <c r="B26" t="s">
        <v>25</v>
      </c>
      <c r="C26" t="s">
        <v>26</v>
      </c>
      <c r="D26">
        <v>-13.33</v>
      </c>
      <c r="E26">
        <v>13.33</v>
      </c>
      <c r="F26">
        <v>158.5</v>
      </c>
      <c r="G26">
        <v>-7.5</v>
      </c>
      <c r="H26">
        <v>7.5</v>
      </c>
      <c r="I26">
        <v>150.5</v>
      </c>
      <c r="L26">
        <f t="shared" si="0"/>
        <v>0</v>
      </c>
      <c r="M26">
        <f t="shared" si="1"/>
        <v>0</v>
      </c>
      <c r="N26">
        <f t="shared" si="2"/>
        <v>13.33</v>
      </c>
      <c r="O26">
        <f t="shared" si="3"/>
        <v>-158.5</v>
      </c>
      <c r="P26">
        <f t="shared" si="4"/>
        <v>-13.33</v>
      </c>
      <c r="Q26">
        <f t="shared" si="6"/>
        <v>-7.5</v>
      </c>
      <c r="R26">
        <f t="shared" si="7"/>
        <v>7.5</v>
      </c>
      <c r="S26">
        <f t="shared" si="5"/>
        <v>-150.5</v>
      </c>
    </row>
    <row r="27" spans="1:19" x14ac:dyDescent="0.35">
      <c r="A27" s="1">
        <v>45979</v>
      </c>
      <c r="B27" t="s">
        <v>69</v>
      </c>
      <c r="C27" t="s">
        <v>70</v>
      </c>
      <c r="D27">
        <v>-28.85</v>
      </c>
      <c r="E27">
        <v>28.85</v>
      </c>
      <c r="F27">
        <v>159.6</v>
      </c>
      <c r="G27">
        <v>-14.5</v>
      </c>
      <c r="H27">
        <v>14.5</v>
      </c>
      <c r="I27">
        <v>145.5</v>
      </c>
      <c r="L27">
        <f t="shared" ref="L27:L81" si="8">J27-K27</f>
        <v>0</v>
      </c>
      <c r="M27">
        <f t="shared" ref="M27:M81" si="9">J27+K27</f>
        <v>0</v>
      </c>
      <c r="N27">
        <f t="shared" ref="N27:N81" si="10">-D27</f>
        <v>28.85</v>
      </c>
      <c r="O27">
        <f t="shared" ref="O27:O81" si="11">M27-F27</f>
        <v>-159.6</v>
      </c>
      <c r="P27">
        <f t="shared" ref="P27:P81" si="12">L27-N27</f>
        <v>-28.85</v>
      </c>
      <c r="Q27">
        <f t="shared" ref="Q27:Q81" si="13">L27+G27</f>
        <v>-14.5</v>
      </c>
      <c r="R27">
        <f t="shared" ref="R27:R81" si="14">-Q27</f>
        <v>14.5</v>
      </c>
      <c r="S27">
        <f t="shared" ref="S27:S81" si="15">M27-I27</f>
        <v>-145.5</v>
      </c>
    </row>
    <row r="28" spans="1:19" x14ac:dyDescent="0.35">
      <c r="A28" s="1">
        <v>45979</v>
      </c>
      <c r="B28" t="s">
        <v>71</v>
      </c>
      <c r="C28" t="s">
        <v>72</v>
      </c>
      <c r="D28">
        <v>3.09</v>
      </c>
      <c r="E28">
        <v>-3.09</v>
      </c>
      <c r="F28">
        <v>157.80000000000001</v>
      </c>
      <c r="G28">
        <v>3.5</v>
      </c>
      <c r="H28">
        <v>-3.5</v>
      </c>
      <c r="I28">
        <v>140.5</v>
      </c>
      <c r="L28">
        <f t="shared" si="8"/>
        <v>0</v>
      </c>
      <c r="M28">
        <f t="shared" si="9"/>
        <v>0</v>
      </c>
      <c r="N28">
        <f t="shared" si="10"/>
        <v>-3.09</v>
      </c>
      <c r="O28">
        <f t="shared" si="11"/>
        <v>-157.80000000000001</v>
      </c>
      <c r="P28">
        <f t="shared" si="12"/>
        <v>3.09</v>
      </c>
      <c r="Q28">
        <f t="shared" si="13"/>
        <v>3.5</v>
      </c>
      <c r="R28">
        <f t="shared" si="14"/>
        <v>-3.5</v>
      </c>
      <c r="S28">
        <f t="shared" si="15"/>
        <v>-140.5</v>
      </c>
    </row>
    <row r="29" spans="1:19" x14ac:dyDescent="0.35">
      <c r="A29" s="1">
        <v>45979</v>
      </c>
      <c r="B29" t="s">
        <v>19</v>
      </c>
      <c r="C29" t="s">
        <v>20</v>
      </c>
      <c r="D29">
        <v>-15.79</v>
      </c>
      <c r="E29">
        <v>15.79</v>
      </c>
      <c r="F29">
        <v>182.5</v>
      </c>
      <c r="G29">
        <v>-4.5</v>
      </c>
      <c r="H29">
        <v>4.5</v>
      </c>
      <c r="I29">
        <v>153.5</v>
      </c>
      <c r="L29">
        <f t="shared" si="8"/>
        <v>0</v>
      </c>
      <c r="M29">
        <f t="shared" si="9"/>
        <v>0</v>
      </c>
      <c r="N29">
        <f t="shared" si="10"/>
        <v>15.79</v>
      </c>
      <c r="O29">
        <f t="shared" si="11"/>
        <v>-182.5</v>
      </c>
      <c r="P29">
        <f t="shared" si="12"/>
        <v>-15.79</v>
      </c>
      <c r="Q29">
        <f t="shared" si="13"/>
        <v>-4.5</v>
      </c>
      <c r="R29">
        <f t="shared" si="14"/>
        <v>4.5</v>
      </c>
      <c r="S29">
        <f t="shared" si="15"/>
        <v>-153.5</v>
      </c>
    </row>
    <row r="30" spans="1:19" x14ac:dyDescent="0.35">
      <c r="A30" s="1">
        <v>45979</v>
      </c>
      <c r="B30" t="s">
        <v>73</v>
      </c>
      <c r="C30" t="s">
        <v>74</v>
      </c>
      <c r="D30">
        <v>-20.39</v>
      </c>
      <c r="E30">
        <v>20.39</v>
      </c>
      <c r="F30">
        <v>156.1</v>
      </c>
      <c r="G30">
        <v>-12.5</v>
      </c>
      <c r="H30">
        <v>12.5</v>
      </c>
      <c r="I30">
        <v>138.5</v>
      </c>
      <c r="L30">
        <f t="shared" si="8"/>
        <v>0</v>
      </c>
      <c r="M30">
        <f t="shared" si="9"/>
        <v>0</v>
      </c>
      <c r="N30">
        <f t="shared" si="10"/>
        <v>20.39</v>
      </c>
      <c r="O30">
        <f t="shared" si="11"/>
        <v>-156.1</v>
      </c>
      <c r="P30">
        <f t="shared" si="12"/>
        <v>-20.39</v>
      </c>
      <c r="Q30">
        <f t="shared" si="13"/>
        <v>-12.5</v>
      </c>
      <c r="R30">
        <f t="shared" si="14"/>
        <v>12.5</v>
      </c>
      <c r="S30">
        <f t="shared" si="15"/>
        <v>-138.5</v>
      </c>
    </row>
    <row r="31" spans="1:19" x14ac:dyDescent="0.35">
      <c r="A31" s="1">
        <v>45979</v>
      </c>
      <c r="B31" t="s">
        <v>75</v>
      </c>
      <c r="C31" t="s">
        <v>76</v>
      </c>
      <c r="D31">
        <v>-7.99</v>
      </c>
      <c r="E31">
        <v>7.99</v>
      </c>
      <c r="F31">
        <v>157</v>
      </c>
      <c r="G31">
        <v>-6.5</v>
      </c>
      <c r="H31">
        <v>6.5</v>
      </c>
      <c r="I31">
        <v>145.5</v>
      </c>
      <c r="L31">
        <f t="shared" si="8"/>
        <v>0</v>
      </c>
      <c r="M31">
        <f t="shared" si="9"/>
        <v>0</v>
      </c>
      <c r="N31">
        <f t="shared" si="10"/>
        <v>7.99</v>
      </c>
      <c r="O31">
        <f t="shared" si="11"/>
        <v>-157</v>
      </c>
      <c r="P31">
        <f t="shared" si="12"/>
        <v>-7.99</v>
      </c>
      <c r="Q31">
        <f t="shared" si="13"/>
        <v>-6.5</v>
      </c>
      <c r="R31">
        <f t="shared" si="14"/>
        <v>6.5</v>
      </c>
      <c r="S31">
        <f t="shared" si="15"/>
        <v>-145.5</v>
      </c>
    </row>
    <row r="32" spans="1:19" x14ac:dyDescent="0.35">
      <c r="A32" s="1">
        <v>45979</v>
      </c>
      <c r="B32" t="s">
        <v>77</v>
      </c>
      <c r="C32" t="s">
        <v>78</v>
      </c>
      <c r="D32">
        <v>-5.93</v>
      </c>
      <c r="E32">
        <v>5.93</v>
      </c>
      <c r="F32">
        <v>150</v>
      </c>
      <c r="G32">
        <v>-3.5</v>
      </c>
      <c r="H32">
        <v>3.5</v>
      </c>
      <c r="I32">
        <v>139.5</v>
      </c>
      <c r="L32">
        <f t="shared" si="8"/>
        <v>0</v>
      </c>
      <c r="M32">
        <f t="shared" si="9"/>
        <v>0</v>
      </c>
      <c r="N32">
        <f t="shared" si="10"/>
        <v>5.93</v>
      </c>
      <c r="O32">
        <f t="shared" si="11"/>
        <v>-150</v>
      </c>
      <c r="P32">
        <f t="shared" si="12"/>
        <v>-5.93</v>
      </c>
      <c r="Q32">
        <f t="shared" si="13"/>
        <v>-3.5</v>
      </c>
      <c r="R32">
        <f t="shared" si="14"/>
        <v>3.5</v>
      </c>
      <c r="S32">
        <f t="shared" si="15"/>
        <v>-139.5</v>
      </c>
    </row>
    <row r="33" spans="1:19" x14ac:dyDescent="0.35">
      <c r="A33" s="1">
        <v>45979</v>
      </c>
      <c r="B33" t="s">
        <v>79</v>
      </c>
      <c r="C33" t="s">
        <v>80</v>
      </c>
      <c r="D33">
        <v>-8.89</v>
      </c>
      <c r="E33">
        <v>8.89</v>
      </c>
      <c r="F33">
        <v>153.30000000000001</v>
      </c>
      <c r="G33">
        <v>-5.5</v>
      </c>
      <c r="H33">
        <v>5.5</v>
      </c>
      <c r="I33">
        <v>140.5</v>
      </c>
      <c r="L33">
        <f t="shared" si="8"/>
        <v>0</v>
      </c>
      <c r="M33">
        <f t="shared" si="9"/>
        <v>0</v>
      </c>
      <c r="N33">
        <f t="shared" si="10"/>
        <v>8.89</v>
      </c>
      <c r="O33">
        <f t="shared" si="11"/>
        <v>-153.30000000000001</v>
      </c>
      <c r="P33">
        <f t="shared" si="12"/>
        <v>-8.89</v>
      </c>
      <c r="Q33">
        <f t="shared" si="13"/>
        <v>-5.5</v>
      </c>
      <c r="R33">
        <f t="shared" si="14"/>
        <v>5.5</v>
      </c>
      <c r="S33">
        <f t="shared" si="15"/>
        <v>-140.5</v>
      </c>
    </row>
    <row r="34" spans="1:19" x14ac:dyDescent="0.35">
      <c r="A34" s="1">
        <v>45979</v>
      </c>
      <c r="B34" t="s">
        <v>81</v>
      </c>
      <c r="C34" t="s">
        <v>82</v>
      </c>
      <c r="D34">
        <v>2.4300000000000002</v>
      </c>
      <c r="E34">
        <v>-2.4300000000000002</v>
      </c>
      <c r="F34">
        <v>158.69999999999999</v>
      </c>
      <c r="G34">
        <v>1.5</v>
      </c>
      <c r="H34">
        <v>-1.5</v>
      </c>
      <c r="I34">
        <v>154.5</v>
      </c>
      <c r="L34">
        <f t="shared" si="8"/>
        <v>0</v>
      </c>
      <c r="M34">
        <f t="shared" si="9"/>
        <v>0</v>
      </c>
      <c r="N34">
        <f t="shared" si="10"/>
        <v>-2.4300000000000002</v>
      </c>
      <c r="O34">
        <f t="shared" si="11"/>
        <v>-158.69999999999999</v>
      </c>
      <c r="P34">
        <f t="shared" si="12"/>
        <v>2.4300000000000002</v>
      </c>
      <c r="Q34">
        <f t="shared" si="13"/>
        <v>1.5</v>
      </c>
      <c r="R34">
        <f t="shared" si="14"/>
        <v>-1.5</v>
      </c>
      <c r="S34">
        <f t="shared" si="15"/>
        <v>-154.5</v>
      </c>
    </row>
    <row r="35" spans="1:19" x14ac:dyDescent="0.35">
      <c r="A35" s="1">
        <v>45979</v>
      </c>
      <c r="B35" t="s">
        <v>83</v>
      </c>
      <c r="C35" t="s">
        <v>84</v>
      </c>
      <c r="D35">
        <v>-10.78</v>
      </c>
      <c r="E35">
        <v>10.78</v>
      </c>
      <c r="F35">
        <v>148.1</v>
      </c>
      <c r="G35">
        <v>-9.5</v>
      </c>
      <c r="H35">
        <v>9.5</v>
      </c>
      <c r="I35">
        <v>133.5</v>
      </c>
      <c r="L35">
        <f t="shared" si="8"/>
        <v>0</v>
      </c>
      <c r="M35">
        <f t="shared" si="9"/>
        <v>0</v>
      </c>
      <c r="N35">
        <f t="shared" si="10"/>
        <v>10.78</v>
      </c>
      <c r="O35">
        <f t="shared" si="11"/>
        <v>-148.1</v>
      </c>
      <c r="P35">
        <f t="shared" si="12"/>
        <v>-10.78</v>
      </c>
      <c r="Q35">
        <f t="shared" si="13"/>
        <v>-9.5</v>
      </c>
      <c r="R35">
        <f t="shared" si="14"/>
        <v>9.5</v>
      </c>
      <c r="S35">
        <f t="shared" si="15"/>
        <v>-133.5</v>
      </c>
    </row>
    <row r="36" spans="1:19" x14ac:dyDescent="0.35">
      <c r="A36" s="1">
        <v>45979</v>
      </c>
      <c r="B36" t="s">
        <v>85</v>
      </c>
      <c r="C36" t="s">
        <v>86</v>
      </c>
      <c r="D36">
        <v>-8.7899999999999991</v>
      </c>
      <c r="E36">
        <v>8.7899999999999991</v>
      </c>
      <c r="F36">
        <v>162.30000000000001</v>
      </c>
      <c r="G36">
        <v>-6.5</v>
      </c>
      <c r="H36">
        <v>6.5</v>
      </c>
      <c r="I36">
        <v>145.5</v>
      </c>
      <c r="L36">
        <f t="shared" si="8"/>
        <v>0</v>
      </c>
      <c r="M36">
        <f t="shared" si="9"/>
        <v>0</v>
      </c>
      <c r="N36">
        <f t="shared" si="10"/>
        <v>8.7899999999999991</v>
      </c>
      <c r="O36">
        <f t="shared" si="11"/>
        <v>-162.30000000000001</v>
      </c>
      <c r="P36">
        <f t="shared" si="12"/>
        <v>-8.7899999999999991</v>
      </c>
      <c r="Q36">
        <f t="shared" si="13"/>
        <v>-6.5</v>
      </c>
      <c r="R36">
        <f t="shared" si="14"/>
        <v>6.5</v>
      </c>
      <c r="S36">
        <f t="shared" si="15"/>
        <v>-145.5</v>
      </c>
    </row>
    <row r="37" spans="1:19" x14ac:dyDescent="0.35">
      <c r="A37" s="1">
        <v>45979</v>
      </c>
      <c r="B37" t="s">
        <v>87</v>
      </c>
      <c r="C37" t="s">
        <v>88</v>
      </c>
      <c r="D37">
        <v>-12.96</v>
      </c>
      <c r="E37">
        <v>12.96</v>
      </c>
      <c r="F37">
        <v>170.2</v>
      </c>
      <c r="G37">
        <v>-10.5</v>
      </c>
      <c r="H37">
        <v>10.5</v>
      </c>
      <c r="I37">
        <v>158.5</v>
      </c>
      <c r="L37">
        <f t="shared" si="8"/>
        <v>0</v>
      </c>
      <c r="M37">
        <f t="shared" si="9"/>
        <v>0</v>
      </c>
      <c r="N37">
        <f t="shared" si="10"/>
        <v>12.96</v>
      </c>
      <c r="O37">
        <f t="shared" si="11"/>
        <v>-170.2</v>
      </c>
      <c r="P37">
        <f t="shared" si="12"/>
        <v>-12.96</v>
      </c>
      <c r="Q37">
        <f t="shared" si="13"/>
        <v>-10.5</v>
      </c>
      <c r="R37">
        <f t="shared" si="14"/>
        <v>10.5</v>
      </c>
      <c r="S37">
        <f t="shared" si="15"/>
        <v>-158.5</v>
      </c>
    </row>
    <row r="38" spans="1:19" x14ac:dyDescent="0.35">
      <c r="A38" s="1">
        <v>45979</v>
      </c>
      <c r="B38" t="s">
        <v>89</v>
      </c>
      <c r="C38" t="s">
        <v>90</v>
      </c>
      <c r="D38">
        <v>-26.39</v>
      </c>
      <c r="E38">
        <v>26.39</v>
      </c>
      <c r="F38">
        <v>169.1</v>
      </c>
      <c r="G38">
        <v>-22.5</v>
      </c>
      <c r="H38">
        <v>22.5</v>
      </c>
      <c r="I38">
        <v>162.5</v>
      </c>
      <c r="L38">
        <f t="shared" si="8"/>
        <v>0</v>
      </c>
      <c r="M38">
        <f t="shared" si="9"/>
        <v>0</v>
      </c>
      <c r="N38">
        <f t="shared" si="10"/>
        <v>26.39</v>
      </c>
      <c r="O38">
        <f t="shared" si="11"/>
        <v>-169.1</v>
      </c>
      <c r="P38">
        <f t="shared" si="12"/>
        <v>-26.39</v>
      </c>
      <c r="Q38">
        <f t="shared" si="13"/>
        <v>-22.5</v>
      </c>
      <c r="R38">
        <f t="shared" si="14"/>
        <v>22.5</v>
      </c>
      <c r="S38">
        <f t="shared" si="15"/>
        <v>-162.5</v>
      </c>
    </row>
    <row r="39" spans="1:19" x14ac:dyDescent="0.35">
      <c r="A39" s="1">
        <v>45979</v>
      </c>
      <c r="B39" t="s">
        <v>91</v>
      </c>
      <c r="C39" t="s">
        <v>92</v>
      </c>
      <c r="D39">
        <v>-23.5</v>
      </c>
      <c r="E39">
        <v>23.5</v>
      </c>
      <c r="F39">
        <v>155.4</v>
      </c>
      <c r="G39">
        <v>-14.5</v>
      </c>
      <c r="H39">
        <v>14.5</v>
      </c>
      <c r="I39">
        <v>135.5</v>
      </c>
      <c r="L39">
        <f t="shared" si="8"/>
        <v>0</v>
      </c>
      <c r="M39">
        <f t="shared" si="9"/>
        <v>0</v>
      </c>
      <c r="N39">
        <f t="shared" si="10"/>
        <v>23.5</v>
      </c>
      <c r="O39">
        <f t="shared" si="11"/>
        <v>-155.4</v>
      </c>
      <c r="P39">
        <f t="shared" si="12"/>
        <v>-23.5</v>
      </c>
      <c r="Q39">
        <f t="shared" si="13"/>
        <v>-14.5</v>
      </c>
      <c r="R39">
        <f t="shared" si="14"/>
        <v>14.5</v>
      </c>
      <c r="S39">
        <f t="shared" si="15"/>
        <v>-135.5</v>
      </c>
    </row>
    <row r="40" spans="1:19" x14ac:dyDescent="0.35">
      <c r="A40" s="1">
        <v>45979</v>
      </c>
      <c r="B40" t="s">
        <v>93</v>
      </c>
      <c r="C40" t="s">
        <v>94</v>
      </c>
      <c r="D40">
        <v>-5.87</v>
      </c>
      <c r="E40">
        <v>5.87</v>
      </c>
      <c r="F40">
        <v>163.80000000000001</v>
      </c>
      <c r="G40">
        <v>-3.5</v>
      </c>
      <c r="H40">
        <v>3.5</v>
      </c>
      <c r="I40">
        <v>153.5</v>
      </c>
      <c r="L40">
        <f t="shared" si="8"/>
        <v>0</v>
      </c>
      <c r="M40">
        <f t="shared" si="9"/>
        <v>0</v>
      </c>
      <c r="N40">
        <f t="shared" si="10"/>
        <v>5.87</v>
      </c>
      <c r="O40">
        <f t="shared" si="11"/>
        <v>-163.80000000000001</v>
      </c>
      <c r="P40">
        <f t="shared" si="12"/>
        <v>-5.87</v>
      </c>
      <c r="Q40">
        <f t="shared" si="13"/>
        <v>-3.5</v>
      </c>
      <c r="R40">
        <f t="shared" si="14"/>
        <v>3.5</v>
      </c>
      <c r="S40">
        <f t="shared" si="15"/>
        <v>-153.5</v>
      </c>
    </row>
    <row r="41" spans="1:19" x14ac:dyDescent="0.35">
      <c r="A41" s="1">
        <v>45979</v>
      </c>
      <c r="B41" t="s">
        <v>95</v>
      </c>
      <c r="C41" t="s">
        <v>96</v>
      </c>
      <c r="D41">
        <v>4.0599999999999996</v>
      </c>
      <c r="E41">
        <v>-4.0599999999999996</v>
      </c>
      <c r="F41">
        <v>155.4</v>
      </c>
      <c r="G41">
        <v>2.5</v>
      </c>
      <c r="H41">
        <v>-2.5</v>
      </c>
      <c r="I41">
        <v>137.5</v>
      </c>
      <c r="L41">
        <f t="shared" si="8"/>
        <v>0</v>
      </c>
      <c r="M41">
        <f t="shared" si="9"/>
        <v>0</v>
      </c>
      <c r="N41">
        <f t="shared" si="10"/>
        <v>-4.0599999999999996</v>
      </c>
      <c r="O41">
        <f t="shared" si="11"/>
        <v>-155.4</v>
      </c>
      <c r="P41">
        <f t="shared" si="12"/>
        <v>4.0599999999999996</v>
      </c>
      <c r="Q41">
        <f t="shared" si="13"/>
        <v>2.5</v>
      </c>
      <c r="R41">
        <f t="shared" si="14"/>
        <v>-2.5</v>
      </c>
      <c r="S41">
        <f t="shared" si="15"/>
        <v>-137.5</v>
      </c>
    </row>
    <row r="42" spans="1:19" x14ac:dyDescent="0.35">
      <c r="A42" s="1">
        <v>45979</v>
      </c>
      <c r="B42" t="s">
        <v>97</v>
      </c>
      <c r="C42" t="s">
        <v>98</v>
      </c>
      <c r="D42">
        <v>-13.33</v>
      </c>
      <c r="E42">
        <v>13.33</v>
      </c>
      <c r="F42">
        <v>151.5</v>
      </c>
      <c r="G42">
        <v>-9.5</v>
      </c>
      <c r="H42">
        <v>9.5</v>
      </c>
      <c r="I42">
        <v>152.5</v>
      </c>
      <c r="L42">
        <f t="shared" si="8"/>
        <v>0</v>
      </c>
      <c r="M42">
        <f t="shared" si="9"/>
        <v>0</v>
      </c>
      <c r="N42">
        <f t="shared" si="10"/>
        <v>13.33</v>
      </c>
      <c r="O42">
        <f t="shared" si="11"/>
        <v>-151.5</v>
      </c>
      <c r="P42">
        <f t="shared" si="12"/>
        <v>-13.33</v>
      </c>
      <c r="Q42">
        <f t="shared" si="13"/>
        <v>-9.5</v>
      </c>
      <c r="R42">
        <f t="shared" si="14"/>
        <v>9.5</v>
      </c>
      <c r="S42">
        <f t="shared" si="15"/>
        <v>-152.5</v>
      </c>
    </row>
    <row r="43" spans="1:19" x14ac:dyDescent="0.35">
      <c r="A43" s="1">
        <v>45979</v>
      </c>
      <c r="B43" t="s">
        <v>99</v>
      </c>
      <c r="C43" t="s">
        <v>100</v>
      </c>
      <c r="D43">
        <v>-19.350000000000001</v>
      </c>
      <c r="E43">
        <v>19.350000000000001</v>
      </c>
      <c r="F43">
        <v>148</v>
      </c>
      <c r="G43">
        <v>-18.5</v>
      </c>
      <c r="H43">
        <v>18.5</v>
      </c>
      <c r="I43">
        <v>142.5</v>
      </c>
      <c r="L43">
        <f t="shared" si="8"/>
        <v>0</v>
      </c>
      <c r="M43">
        <f t="shared" si="9"/>
        <v>0</v>
      </c>
      <c r="N43">
        <f t="shared" si="10"/>
        <v>19.350000000000001</v>
      </c>
      <c r="O43">
        <f t="shared" si="11"/>
        <v>-148</v>
      </c>
      <c r="P43">
        <f t="shared" si="12"/>
        <v>-19.350000000000001</v>
      </c>
      <c r="Q43">
        <f t="shared" si="13"/>
        <v>-18.5</v>
      </c>
      <c r="R43">
        <f t="shared" si="14"/>
        <v>18.5</v>
      </c>
      <c r="S43">
        <f t="shared" si="15"/>
        <v>-142.5</v>
      </c>
    </row>
    <row r="44" spans="1:19" x14ac:dyDescent="0.35">
      <c r="A44" s="1">
        <v>45979</v>
      </c>
      <c r="B44" t="s">
        <v>101</v>
      </c>
      <c r="C44" t="s">
        <v>102</v>
      </c>
      <c r="D44">
        <v>1.94</v>
      </c>
      <c r="E44">
        <v>-1.94</v>
      </c>
      <c r="F44">
        <v>155.19999999999999</v>
      </c>
      <c r="G44">
        <v>1.5</v>
      </c>
      <c r="H44">
        <v>-1.5</v>
      </c>
      <c r="I44">
        <v>159.5</v>
      </c>
      <c r="L44">
        <f t="shared" si="8"/>
        <v>0</v>
      </c>
      <c r="M44">
        <f t="shared" si="9"/>
        <v>0</v>
      </c>
      <c r="N44">
        <f t="shared" si="10"/>
        <v>-1.94</v>
      </c>
      <c r="O44">
        <f t="shared" si="11"/>
        <v>-155.19999999999999</v>
      </c>
      <c r="P44">
        <f t="shared" si="12"/>
        <v>1.94</v>
      </c>
      <c r="Q44">
        <f t="shared" si="13"/>
        <v>1.5</v>
      </c>
      <c r="R44">
        <f t="shared" si="14"/>
        <v>-1.5</v>
      </c>
      <c r="S44">
        <f t="shared" si="15"/>
        <v>-159.5</v>
      </c>
    </row>
    <row r="45" spans="1:19" x14ac:dyDescent="0.35">
      <c r="A45" s="1">
        <v>45979</v>
      </c>
      <c r="B45" t="s">
        <v>103</v>
      </c>
      <c r="C45" t="s">
        <v>104</v>
      </c>
      <c r="D45">
        <v>-32.79</v>
      </c>
      <c r="E45">
        <v>32.79</v>
      </c>
      <c r="F45">
        <v>175.8</v>
      </c>
      <c r="G45">
        <v>-25.5</v>
      </c>
      <c r="H45">
        <v>25.5</v>
      </c>
      <c r="I45">
        <v>161.5</v>
      </c>
      <c r="L45">
        <f t="shared" si="8"/>
        <v>0</v>
      </c>
      <c r="M45">
        <f t="shared" si="9"/>
        <v>0</v>
      </c>
      <c r="N45">
        <f t="shared" si="10"/>
        <v>32.79</v>
      </c>
      <c r="O45">
        <f t="shared" si="11"/>
        <v>-175.8</v>
      </c>
      <c r="P45">
        <f t="shared" si="12"/>
        <v>-32.79</v>
      </c>
      <c r="Q45">
        <f t="shared" si="13"/>
        <v>-25.5</v>
      </c>
      <c r="R45">
        <f t="shared" si="14"/>
        <v>25.5</v>
      </c>
      <c r="S45">
        <f t="shared" si="15"/>
        <v>-161.5</v>
      </c>
    </row>
    <row r="46" spans="1:19" x14ac:dyDescent="0.35">
      <c r="A46" s="1">
        <v>45979</v>
      </c>
      <c r="B46" t="s">
        <v>105</v>
      </c>
      <c r="C46" t="s">
        <v>106</v>
      </c>
      <c r="D46">
        <v>-39.81</v>
      </c>
      <c r="E46">
        <v>39.81</v>
      </c>
      <c r="F46">
        <v>167.1</v>
      </c>
      <c r="G46">
        <v>-26.5</v>
      </c>
      <c r="H46">
        <v>26.5</v>
      </c>
      <c r="I46">
        <v>158.5</v>
      </c>
      <c r="L46">
        <f t="shared" si="8"/>
        <v>0</v>
      </c>
      <c r="M46">
        <f t="shared" si="9"/>
        <v>0</v>
      </c>
      <c r="N46">
        <f t="shared" si="10"/>
        <v>39.81</v>
      </c>
      <c r="O46">
        <f t="shared" si="11"/>
        <v>-167.1</v>
      </c>
      <c r="P46">
        <f t="shared" si="12"/>
        <v>-39.81</v>
      </c>
      <c r="Q46">
        <f t="shared" si="13"/>
        <v>-26.5</v>
      </c>
      <c r="R46">
        <f t="shared" si="14"/>
        <v>26.5</v>
      </c>
      <c r="S46">
        <f t="shared" si="15"/>
        <v>-158.5</v>
      </c>
    </row>
    <row r="47" spans="1:19" x14ac:dyDescent="0.35">
      <c r="A47" s="1">
        <v>45979</v>
      </c>
      <c r="B47" t="s">
        <v>107</v>
      </c>
      <c r="C47" t="s">
        <v>108</v>
      </c>
      <c r="D47">
        <v>-37.92</v>
      </c>
      <c r="E47">
        <v>37.92</v>
      </c>
      <c r="F47">
        <v>146.69999999999999</v>
      </c>
      <c r="G47">
        <v>-23.5</v>
      </c>
      <c r="H47">
        <v>23.5</v>
      </c>
      <c r="I47">
        <v>126.5</v>
      </c>
      <c r="L47">
        <f t="shared" si="8"/>
        <v>0</v>
      </c>
      <c r="M47">
        <f t="shared" si="9"/>
        <v>0</v>
      </c>
      <c r="N47">
        <f t="shared" si="10"/>
        <v>37.92</v>
      </c>
      <c r="O47">
        <f t="shared" si="11"/>
        <v>-146.69999999999999</v>
      </c>
      <c r="P47">
        <f t="shared" si="12"/>
        <v>-37.92</v>
      </c>
      <c r="Q47">
        <f t="shared" si="13"/>
        <v>-23.5</v>
      </c>
      <c r="R47">
        <f t="shared" si="14"/>
        <v>23.5</v>
      </c>
      <c r="S47">
        <f t="shared" si="15"/>
        <v>-126.5</v>
      </c>
    </row>
    <row r="48" spans="1:19" x14ac:dyDescent="0.35">
      <c r="A48" s="1">
        <v>45979</v>
      </c>
      <c r="B48" t="s">
        <v>109</v>
      </c>
      <c r="C48" t="s">
        <v>110</v>
      </c>
      <c r="D48">
        <v>-16.77</v>
      </c>
      <c r="E48">
        <v>16.77</v>
      </c>
      <c r="F48">
        <v>163</v>
      </c>
      <c r="G48">
        <v>-10.5</v>
      </c>
      <c r="H48">
        <v>10.5</v>
      </c>
      <c r="I48">
        <v>150.5</v>
      </c>
      <c r="L48">
        <f t="shared" si="8"/>
        <v>0</v>
      </c>
      <c r="M48">
        <f t="shared" si="9"/>
        <v>0</v>
      </c>
      <c r="N48">
        <f t="shared" si="10"/>
        <v>16.77</v>
      </c>
      <c r="O48">
        <f t="shared" si="11"/>
        <v>-163</v>
      </c>
      <c r="P48">
        <f t="shared" si="12"/>
        <v>-16.77</v>
      </c>
      <c r="Q48">
        <f t="shared" si="13"/>
        <v>-10.5</v>
      </c>
      <c r="R48">
        <f t="shared" si="14"/>
        <v>10.5</v>
      </c>
      <c r="S48">
        <f t="shared" si="15"/>
        <v>-150.5</v>
      </c>
    </row>
    <row r="49" spans="1:19" x14ac:dyDescent="0.35">
      <c r="A49" s="1">
        <v>45979</v>
      </c>
      <c r="B49" t="s">
        <v>111</v>
      </c>
      <c r="C49" t="s">
        <v>112</v>
      </c>
      <c r="D49">
        <v>-20.57</v>
      </c>
      <c r="E49">
        <v>20.57</v>
      </c>
      <c r="F49">
        <v>165.8</v>
      </c>
      <c r="G49">
        <v>-10.5</v>
      </c>
      <c r="H49">
        <v>10.5</v>
      </c>
      <c r="I49">
        <v>155.5</v>
      </c>
      <c r="L49">
        <f t="shared" si="8"/>
        <v>0</v>
      </c>
      <c r="M49">
        <f t="shared" si="9"/>
        <v>0</v>
      </c>
      <c r="N49">
        <f t="shared" si="10"/>
        <v>20.57</v>
      </c>
      <c r="O49">
        <f t="shared" si="11"/>
        <v>-165.8</v>
      </c>
      <c r="P49">
        <f t="shared" si="12"/>
        <v>-20.57</v>
      </c>
      <c r="Q49">
        <f t="shared" si="13"/>
        <v>-10.5</v>
      </c>
      <c r="R49">
        <f t="shared" si="14"/>
        <v>10.5</v>
      </c>
      <c r="S49">
        <f t="shared" si="15"/>
        <v>-155.5</v>
      </c>
    </row>
    <row r="50" spans="1:19" x14ac:dyDescent="0.35">
      <c r="A50" s="1">
        <v>45979</v>
      </c>
      <c r="B50" t="s">
        <v>113</v>
      </c>
      <c r="C50" t="s">
        <v>114</v>
      </c>
      <c r="D50">
        <v>-21.99</v>
      </c>
      <c r="E50">
        <v>21.99</v>
      </c>
      <c r="F50">
        <v>171.7</v>
      </c>
      <c r="G50">
        <v>-10.5</v>
      </c>
      <c r="H50">
        <v>10.5</v>
      </c>
      <c r="I50">
        <v>162.5</v>
      </c>
      <c r="L50">
        <f t="shared" si="8"/>
        <v>0</v>
      </c>
      <c r="M50">
        <f t="shared" si="9"/>
        <v>0</v>
      </c>
      <c r="N50">
        <f t="shared" si="10"/>
        <v>21.99</v>
      </c>
      <c r="O50">
        <f t="shared" si="11"/>
        <v>-171.7</v>
      </c>
      <c r="P50">
        <f t="shared" si="12"/>
        <v>-21.99</v>
      </c>
      <c r="Q50">
        <f t="shared" si="13"/>
        <v>-10.5</v>
      </c>
      <c r="R50">
        <f t="shared" si="14"/>
        <v>10.5</v>
      </c>
      <c r="S50">
        <f t="shared" si="15"/>
        <v>-162.5</v>
      </c>
    </row>
    <row r="51" spans="1:19" x14ac:dyDescent="0.35">
      <c r="A51" s="1">
        <v>45979</v>
      </c>
      <c r="B51" t="s">
        <v>115</v>
      </c>
      <c r="C51" t="s">
        <v>116</v>
      </c>
      <c r="D51">
        <v>-1.39</v>
      </c>
      <c r="E51">
        <v>1.39</v>
      </c>
      <c r="F51">
        <v>153.80000000000001</v>
      </c>
      <c r="G51">
        <v>-1.5</v>
      </c>
      <c r="H51">
        <v>1.5</v>
      </c>
      <c r="I51">
        <v>138.5</v>
      </c>
      <c r="L51">
        <f t="shared" si="8"/>
        <v>0</v>
      </c>
      <c r="M51">
        <f t="shared" si="9"/>
        <v>0</v>
      </c>
      <c r="N51">
        <f t="shared" si="10"/>
        <v>1.39</v>
      </c>
      <c r="O51">
        <f t="shared" si="11"/>
        <v>-153.80000000000001</v>
      </c>
      <c r="P51">
        <f t="shared" si="12"/>
        <v>-1.39</v>
      </c>
      <c r="Q51">
        <f t="shared" si="13"/>
        <v>-1.5</v>
      </c>
      <c r="R51">
        <f t="shared" si="14"/>
        <v>1.5</v>
      </c>
      <c r="S51">
        <f t="shared" si="15"/>
        <v>-138.5</v>
      </c>
    </row>
    <row r="52" spans="1:19" x14ac:dyDescent="0.35">
      <c r="A52" s="1">
        <v>45979</v>
      </c>
      <c r="B52" t="s">
        <v>117</v>
      </c>
      <c r="C52" t="s">
        <v>118</v>
      </c>
      <c r="D52">
        <v>-44.5</v>
      </c>
      <c r="E52">
        <v>44.5</v>
      </c>
      <c r="F52">
        <v>166.1</v>
      </c>
      <c r="G52">
        <v>-30.5</v>
      </c>
      <c r="H52">
        <v>30.5</v>
      </c>
      <c r="I52">
        <v>157.5</v>
      </c>
      <c r="L52">
        <f t="shared" si="8"/>
        <v>0</v>
      </c>
      <c r="M52">
        <f t="shared" si="9"/>
        <v>0</v>
      </c>
      <c r="N52">
        <f t="shared" si="10"/>
        <v>44.5</v>
      </c>
      <c r="O52">
        <f t="shared" si="11"/>
        <v>-166.1</v>
      </c>
      <c r="P52">
        <f t="shared" si="12"/>
        <v>-44.5</v>
      </c>
      <c r="Q52">
        <f t="shared" si="13"/>
        <v>-30.5</v>
      </c>
      <c r="R52">
        <f t="shared" si="14"/>
        <v>30.5</v>
      </c>
      <c r="S52">
        <f t="shared" si="15"/>
        <v>-157.5</v>
      </c>
    </row>
    <row r="53" spans="1:19" x14ac:dyDescent="0.35">
      <c r="A53" s="1">
        <v>45979</v>
      </c>
      <c r="B53" t="s">
        <v>119</v>
      </c>
      <c r="C53" t="s">
        <v>120</v>
      </c>
      <c r="D53">
        <v>-24.29</v>
      </c>
      <c r="E53">
        <v>24.29</v>
      </c>
      <c r="F53">
        <v>179.7</v>
      </c>
      <c r="G53">
        <v>-20.5</v>
      </c>
      <c r="H53">
        <v>20.5</v>
      </c>
      <c r="I53">
        <v>167.5</v>
      </c>
      <c r="L53">
        <f t="shared" si="8"/>
        <v>0</v>
      </c>
      <c r="M53">
        <f t="shared" si="9"/>
        <v>0</v>
      </c>
      <c r="N53">
        <f t="shared" si="10"/>
        <v>24.29</v>
      </c>
      <c r="O53">
        <f t="shared" si="11"/>
        <v>-179.7</v>
      </c>
      <c r="P53">
        <f t="shared" si="12"/>
        <v>-24.29</v>
      </c>
      <c r="Q53">
        <f t="shared" si="13"/>
        <v>-20.5</v>
      </c>
      <c r="R53">
        <f t="shared" si="14"/>
        <v>20.5</v>
      </c>
      <c r="S53">
        <f t="shared" si="15"/>
        <v>-167.5</v>
      </c>
    </row>
    <row r="54" spans="1:19" x14ac:dyDescent="0.35">
      <c r="A54" s="1">
        <v>45979</v>
      </c>
      <c r="B54" t="s">
        <v>121</v>
      </c>
      <c r="C54" t="s">
        <v>122</v>
      </c>
      <c r="D54">
        <v>-14.56</v>
      </c>
      <c r="E54">
        <v>14.56</v>
      </c>
      <c r="F54">
        <v>166.3</v>
      </c>
      <c r="G54">
        <v>-14.5</v>
      </c>
      <c r="H54">
        <v>14.5</v>
      </c>
      <c r="I54">
        <v>160.5</v>
      </c>
      <c r="L54">
        <f t="shared" si="8"/>
        <v>0</v>
      </c>
      <c r="M54">
        <f t="shared" si="9"/>
        <v>0</v>
      </c>
      <c r="N54">
        <f t="shared" si="10"/>
        <v>14.56</v>
      </c>
      <c r="O54">
        <f t="shared" si="11"/>
        <v>-166.3</v>
      </c>
      <c r="P54">
        <f t="shared" si="12"/>
        <v>-14.56</v>
      </c>
      <c r="Q54">
        <f t="shared" si="13"/>
        <v>-14.5</v>
      </c>
      <c r="R54">
        <f t="shared" si="14"/>
        <v>14.5</v>
      </c>
      <c r="S54">
        <f t="shared" si="15"/>
        <v>-160.5</v>
      </c>
    </row>
    <row r="55" spans="1:19" x14ac:dyDescent="0.35">
      <c r="A55" s="1">
        <v>45979</v>
      </c>
      <c r="B55" t="s">
        <v>123</v>
      </c>
      <c r="C55" t="s">
        <v>124</v>
      </c>
      <c r="D55">
        <v>-49.01</v>
      </c>
      <c r="E55">
        <v>49.01</v>
      </c>
      <c r="F55">
        <v>168.5</v>
      </c>
      <c r="G55">
        <v>-36.5</v>
      </c>
      <c r="H55">
        <v>36.5</v>
      </c>
      <c r="I55">
        <v>169.5</v>
      </c>
      <c r="L55">
        <f t="shared" si="8"/>
        <v>0</v>
      </c>
      <c r="M55">
        <f t="shared" si="9"/>
        <v>0</v>
      </c>
      <c r="N55">
        <f t="shared" si="10"/>
        <v>49.01</v>
      </c>
      <c r="O55">
        <f t="shared" si="11"/>
        <v>-168.5</v>
      </c>
      <c r="P55">
        <f t="shared" si="12"/>
        <v>-49.01</v>
      </c>
      <c r="Q55">
        <f t="shared" si="13"/>
        <v>-36.5</v>
      </c>
      <c r="R55">
        <f t="shared" si="14"/>
        <v>36.5</v>
      </c>
      <c r="S55">
        <f t="shared" si="15"/>
        <v>-169.5</v>
      </c>
    </row>
    <row r="56" spans="1:19" x14ac:dyDescent="0.35">
      <c r="A56" s="1">
        <v>45979</v>
      </c>
      <c r="B56" t="s">
        <v>125</v>
      </c>
      <c r="C56" t="s">
        <v>126</v>
      </c>
      <c r="D56">
        <v>-23.09</v>
      </c>
      <c r="E56">
        <v>23.09</v>
      </c>
      <c r="F56">
        <v>162.80000000000001</v>
      </c>
      <c r="G56">
        <v>-15.5</v>
      </c>
      <c r="H56">
        <v>15.5</v>
      </c>
      <c r="I56">
        <v>164.5</v>
      </c>
      <c r="L56">
        <f t="shared" si="8"/>
        <v>0</v>
      </c>
      <c r="M56">
        <f t="shared" si="9"/>
        <v>0</v>
      </c>
      <c r="N56">
        <f t="shared" si="10"/>
        <v>23.09</v>
      </c>
      <c r="O56">
        <f t="shared" si="11"/>
        <v>-162.80000000000001</v>
      </c>
      <c r="P56">
        <f t="shared" si="12"/>
        <v>-23.09</v>
      </c>
      <c r="Q56">
        <f t="shared" si="13"/>
        <v>-15.5</v>
      </c>
      <c r="R56">
        <f t="shared" si="14"/>
        <v>15.5</v>
      </c>
      <c r="S56">
        <f t="shared" si="15"/>
        <v>-164.5</v>
      </c>
    </row>
    <row r="57" spans="1:19" x14ac:dyDescent="0.35">
      <c r="A57" s="1">
        <v>45979</v>
      </c>
      <c r="B57" t="s">
        <v>127</v>
      </c>
      <c r="C57" t="s">
        <v>128</v>
      </c>
      <c r="D57">
        <v>-34.65</v>
      </c>
      <c r="E57">
        <v>34.65</v>
      </c>
      <c r="F57">
        <v>166</v>
      </c>
      <c r="G57">
        <v>-20.5</v>
      </c>
      <c r="H57">
        <v>20.5</v>
      </c>
      <c r="I57">
        <v>148.5</v>
      </c>
      <c r="L57">
        <f t="shared" si="8"/>
        <v>0</v>
      </c>
      <c r="M57">
        <f t="shared" si="9"/>
        <v>0</v>
      </c>
      <c r="N57">
        <f t="shared" si="10"/>
        <v>34.65</v>
      </c>
      <c r="O57">
        <f t="shared" si="11"/>
        <v>-166</v>
      </c>
      <c r="P57">
        <f t="shared" si="12"/>
        <v>-34.65</v>
      </c>
      <c r="Q57">
        <f t="shared" si="13"/>
        <v>-20.5</v>
      </c>
      <c r="R57">
        <f t="shared" si="14"/>
        <v>20.5</v>
      </c>
      <c r="S57">
        <f t="shared" si="15"/>
        <v>-148.5</v>
      </c>
    </row>
    <row r="58" spans="1:19" x14ac:dyDescent="0.35">
      <c r="A58" s="1">
        <v>45979</v>
      </c>
      <c r="B58" t="s">
        <v>129</v>
      </c>
      <c r="C58" t="s">
        <v>130</v>
      </c>
      <c r="D58">
        <v>-38.409999999999997</v>
      </c>
      <c r="E58">
        <v>38.409999999999997</v>
      </c>
      <c r="F58">
        <v>155.80000000000001</v>
      </c>
      <c r="G58">
        <v>-25.5</v>
      </c>
      <c r="H58">
        <v>25.5</v>
      </c>
      <c r="I58">
        <v>149.5</v>
      </c>
      <c r="L58">
        <f t="shared" si="8"/>
        <v>0</v>
      </c>
      <c r="M58">
        <f t="shared" si="9"/>
        <v>0</v>
      </c>
      <c r="N58">
        <f t="shared" si="10"/>
        <v>38.409999999999997</v>
      </c>
      <c r="O58">
        <f t="shared" si="11"/>
        <v>-155.80000000000001</v>
      </c>
      <c r="P58">
        <f t="shared" si="12"/>
        <v>-38.409999999999997</v>
      </c>
      <c r="Q58">
        <f t="shared" si="13"/>
        <v>-25.5</v>
      </c>
      <c r="R58">
        <f t="shared" si="14"/>
        <v>25.5</v>
      </c>
      <c r="S58">
        <f t="shared" si="15"/>
        <v>-149.5</v>
      </c>
    </row>
    <row r="59" spans="1:19" x14ac:dyDescent="0.35">
      <c r="A59" s="1">
        <v>45979</v>
      </c>
      <c r="B59" t="s">
        <v>131</v>
      </c>
      <c r="C59" t="s">
        <v>132</v>
      </c>
      <c r="D59">
        <v>-26.25</v>
      </c>
      <c r="E59">
        <v>26.25</v>
      </c>
      <c r="F59">
        <v>161.80000000000001</v>
      </c>
      <c r="G59">
        <v>-21.5</v>
      </c>
      <c r="H59">
        <v>21.5</v>
      </c>
      <c r="I59">
        <v>153.5</v>
      </c>
      <c r="L59">
        <f t="shared" si="8"/>
        <v>0</v>
      </c>
      <c r="M59">
        <f t="shared" si="9"/>
        <v>0</v>
      </c>
      <c r="N59">
        <f t="shared" si="10"/>
        <v>26.25</v>
      </c>
      <c r="O59">
        <f t="shared" si="11"/>
        <v>-161.80000000000001</v>
      </c>
      <c r="P59">
        <f t="shared" si="12"/>
        <v>-26.25</v>
      </c>
      <c r="Q59">
        <f t="shared" si="13"/>
        <v>-21.5</v>
      </c>
      <c r="R59">
        <f t="shared" si="14"/>
        <v>21.5</v>
      </c>
      <c r="S59">
        <f t="shared" si="15"/>
        <v>-153.5</v>
      </c>
    </row>
    <row r="60" spans="1:19" x14ac:dyDescent="0.35">
      <c r="A60" s="1">
        <v>45979</v>
      </c>
      <c r="B60" t="s">
        <v>133</v>
      </c>
      <c r="C60" t="s">
        <v>134</v>
      </c>
      <c r="D60">
        <v>3.6</v>
      </c>
      <c r="E60">
        <v>-3.6</v>
      </c>
      <c r="F60">
        <v>154.9</v>
      </c>
      <c r="G60">
        <v>-1.5</v>
      </c>
      <c r="H60">
        <v>1.5</v>
      </c>
      <c r="I60">
        <v>142.5</v>
      </c>
      <c r="L60">
        <f t="shared" si="8"/>
        <v>0</v>
      </c>
      <c r="M60">
        <f t="shared" si="9"/>
        <v>0</v>
      </c>
      <c r="N60">
        <f t="shared" si="10"/>
        <v>-3.6</v>
      </c>
      <c r="O60">
        <f t="shared" si="11"/>
        <v>-154.9</v>
      </c>
      <c r="P60">
        <f t="shared" si="12"/>
        <v>3.6</v>
      </c>
      <c r="Q60">
        <f t="shared" si="13"/>
        <v>-1.5</v>
      </c>
      <c r="R60">
        <f t="shared" si="14"/>
        <v>1.5</v>
      </c>
      <c r="S60">
        <f t="shared" si="15"/>
        <v>-142.5</v>
      </c>
    </row>
    <row r="61" spans="1:19" x14ac:dyDescent="0.35">
      <c r="A61" s="1">
        <v>45979</v>
      </c>
      <c r="B61" t="s">
        <v>135</v>
      </c>
      <c r="C61" t="s">
        <v>136</v>
      </c>
      <c r="D61">
        <v>-24.98</v>
      </c>
      <c r="E61">
        <v>24.98</v>
      </c>
      <c r="F61">
        <v>167</v>
      </c>
      <c r="G61">
        <v>-18.5</v>
      </c>
      <c r="H61">
        <v>18.5</v>
      </c>
      <c r="I61">
        <v>164.5</v>
      </c>
      <c r="L61">
        <f t="shared" si="8"/>
        <v>0</v>
      </c>
      <c r="M61">
        <f t="shared" si="9"/>
        <v>0</v>
      </c>
      <c r="N61">
        <f t="shared" si="10"/>
        <v>24.98</v>
      </c>
      <c r="O61">
        <f t="shared" si="11"/>
        <v>-167</v>
      </c>
      <c r="P61">
        <f t="shared" si="12"/>
        <v>-24.98</v>
      </c>
      <c r="Q61">
        <f t="shared" si="13"/>
        <v>-18.5</v>
      </c>
      <c r="R61">
        <f t="shared" si="14"/>
        <v>18.5</v>
      </c>
      <c r="S61">
        <f t="shared" si="15"/>
        <v>-164.5</v>
      </c>
    </row>
    <row r="62" spans="1:19" x14ac:dyDescent="0.35">
      <c r="A62" s="1">
        <v>45979</v>
      </c>
      <c r="B62" t="s">
        <v>137</v>
      </c>
      <c r="C62" t="s">
        <v>138</v>
      </c>
      <c r="D62">
        <v>-27.47</v>
      </c>
      <c r="E62">
        <v>27.47</v>
      </c>
      <c r="F62">
        <v>159.5</v>
      </c>
      <c r="G62">
        <v>-20.5</v>
      </c>
      <c r="H62">
        <v>20.5</v>
      </c>
      <c r="I62">
        <v>144.5</v>
      </c>
      <c r="L62">
        <f t="shared" si="8"/>
        <v>0</v>
      </c>
      <c r="M62">
        <f t="shared" si="9"/>
        <v>0</v>
      </c>
      <c r="N62">
        <f t="shared" si="10"/>
        <v>27.47</v>
      </c>
      <c r="O62">
        <f t="shared" si="11"/>
        <v>-159.5</v>
      </c>
      <c r="P62">
        <f t="shared" si="12"/>
        <v>-27.47</v>
      </c>
      <c r="Q62">
        <f t="shared" si="13"/>
        <v>-20.5</v>
      </c>
      <c r="R62">
        <f t="shared" si="14"/>
        <v>20.5</v>
      </c>
      <c r="S62">
        <f t="shared" si="15"/>
        <v>-144.5</v>
      </c>
    </row>
    <row r="63" spans="1:19" x14ac:dyDescent="0.35">
      <c r="A63" s="1">
        <v>45979</v>
      </c>
      <c r="B63" t="s">
        <v>139</v>
      </c>
      <c r="C63" t="s">
        <v>140</v>
      </c>
      <c r="D63">
        <v>-12.77</v>
      </c>
      <c r="E63">
        <v>12.77</v>
      </c>
      <c r="F63">
        <v>171.3</v>
      </c>
      <c r="G63">
        <v>-8.5</v>
      </c>
      <c r="H63">
        <v>8.5</v>
      </c>
      <c r="I63">
        <v>153.5</v>
      </c>
      <c r="L63">
        <f t="shared" si="8"/>
        <v>0</v>
      </c>
      <c r="M63">
        <f t="shared" si="9"/>
        <v>0</v>
      </c>
      <c r="N63">
        <f t="shared" si="10"/>
        <v>12.77</v>
      </c>
      <c r="O63">
        <f t="shared" si="11"/>
        <v>-171.3</v>
      </c>
      <c r="P63">
        <f t="shared" si="12"/>
        <v>-12.77</v>
      </c>
      <c r="Q63">
        <f t="shared" si="13"/>
        <v>-8.5</v>
      </c>
      <c r="R63">
        <f t="shared" si="14"/>
        <v>8.5</v>
      </c>
      <c r="S63">
        <f t="shared" si="15"/>
        <v>-153.5</v>
      </c>
    </row>
    <row r="64" spans="1:19" x14ac:dyDescent="0.35">
      <c r="A64" s="1">
        <v>45979</v>
      </c>
      <c r="B64" t="s">
        <v>141</v>
      </c>
      <c r="C64" t="s">
        <v>142</v>
      </c>
      <c r="D64">
        <v>-34.71</v>
      </c>
      <c r="E64">
        <v>34.71</v>
      </c>
      <c r="F64">
        <v>166</v>
      </c>
      <c r="G64">
        <v>-24.5</v>
      </c>
      <c r="H64">
        <v>24.5</v>
      </c>
      <c r="I64">
        <v>149.5</v>
      </c>
      <c r="L64">
        <f t="shared" si="8"/>
        <v>0</v>
      </c>
      <c r="M64">
        <f t="shared" si="9"/>
        <v>0</v>
      </c>
      <c r="N64">
        <f t="shared" si="10"/>
        <v>34.71</v>
      </c>
      <c r="O64">
        <f t="shared" si="11"/>
        <v>-166</v>
      </c>
      <c r="P64">
        <f t="shared" si="12"/>
        <v>-34.71</v>
      </c>
      <c r="Q64">
        <f t="shared" si="13"/>
        <v>-24.5</v>
      </c>
      <c r="R64">
        <f t="shared" si="14"/>
        <v>24.5</v>
      </c>
      <c r="S64">
        <f t="shared" si="15"/>
        <v>-149.5</v>
      </c>
    </row>
    <row r="65" spans="1:19" x14ac:dyDescent="0.35">
      <c r="A65" s="1">
        <v>45979</v>
      </c>
      <c r="B65" t="s">
        <v>143</v>
      </c>
      <c r="C65" t="s">
        <v>144</v>
      </c>
      <c r="D65">
        <v>-12.61</v>
      </c>
      <c r="E65">
        <v>12.61</v>
      </c>
      <c r="F65">
        <v>172.8</v>
      </c>
      <c r="G65">
        <v>-9.5</v>
      </c>
      <c r="H65">
        <v>9.5</v>
      </c>
      <c r="I65">
        <v>152.5</v>
      </c>
      <c r="L65">
        <f t="shared" si="8"/>
        <v>0</v>
      </c>
      <c r="M65">
        <f t="shared" si="9"/>
        <v>0</v>
      </c>
      <c r="N65">
        <f t="shared" si="10"/>
        <v>12.61</v>
      </c>
      <c r="O65">
        <f t="shared" si="11"/>
        <v>-172.8</v>
      </c>
      <c r="P65">
        <f t="shared" si="12"/>
        <v>-12.61</v>
      </c>
      <c r="Q65">
        <f t="shared" si="13"/>
        <v>-9.5</v>
      </c>
      <c r="R65">
        <f t="shared" si="14"/>
        <v>9.5</v>
      </c>
      <c r="S65">
        <f t="shared" si="15"/>
        <v>-152.5</v>
      </c>
    </row>
    <row r="66" spans="1:19" x14ac:dyDescent="0.35">
      <c r="A66" s="1">
        <v>45979</v>
      </c>
      <c r="B66" t="s">
        <v>25</v>
      </c>
      <c r="C66" t="s">
        <v>26</v>
      </c>
      <c r="D66">
        <v>-14.76</v>
      </c>
      <c r="E66">
        <v>14.76</v>
      </c>
      <c r="F66">
        <v>182.1</v>
      </c>
      <c r="G66">
        <v>-10.5</v>
      </c>
      <c r="H66">
        <v>10.5</v>
      </c>
      <c r="I66">
        <v>150.5</v>
      </c>
      <c r="L66">
        <f t="shared" si="8"/>
        <v>0</v>
      </c>
      <c r="M66">
        <f t="shared" si="9"/>
        <v>0</v>
      </c>
      <c r="N66">
        <f t="shared" si="10"/>
        <v>14.76</v>
      </c>
      <c r="O66">
        <f t="shared" si="11"/>
        <v>-182.1</v>
      </c>
      <c r="P66">
        <f t="shared" si="12"/>
        <v>-14.76</v>
      </c>
      <c r="Q66">
        <f t="shared" si="13"/>
        <v>-10.5</v>
      </c>
      <c r="R66">
        <f t="shared" si="14"/>
        <v>10.5</v>
      </c>
      <c r="S66">
        <f t="shared" si="15"/>
        <v>-150.5</v>
      </c>
    </row>
    <row r="67" spans="1:19" x14ac:dyDescent="0.35">
      <c r="A67" s="1">
        <v>45979</v>
      </c>
      <c r="B67" t="s">
        <v>145</v>
      </c>
      <c r="C67" t="s">
        <v>146</v>
      </c>
      <c r="D67">
        <v>-23.4</v>
      </c>
      <c r="E67">
        <v>23.4</v>
      </c>
      <c r="F67">
        <v>167.7</v>
      </c>
      <c r="G67">
        <v>-13.5</v>
      </c>
      <c r="H67">
        <v>13.5</v>
      </c>
      <c r="I67">
        <v>160.5</v>
      </c>
      <c r="L67">
        <f t="shared" si="8"/>
        <v>0</v>
      </c>
      <c r="M67">
        <f t="shared" si="9"/>
        <v>0</v>
      </c>
      <c r="N67">
        <f t="shared" si="10"/>
        <v>23.4</v>
      </c>
      <c r="O67">
        <f t="shared" si="11"/>
        <v>-167.7</v>
      </c>
      <c r="P67">
        <f t="shared" si="12"/>
        <v>-23.4</v>
      </c>
      <c r="Q67">
        <f t="shared" si="13"/>
        <v>-13.5</v>
      </c>
      <c r="R67">
        <f t="shared" si="14"/>
        <v>13.5</v>
      </c>
      <c r="S67">
        <f t="shared" si="15"/>
        <v>-160.5</v>
      </c>
    </row>
    <row r="68" spans="1:19" x14ac:dyDescent="0.35">
      <c r="A68" s="1">
        <v>45979</v>
      </c>
      <c r="B68" t="s">
        <v>147</v>
      </c>
      <c r="C68" t="s">
        <v>148</v>
      </c>
      <c r="D68">
        <v>2.06</v>
      </c>
      <c r="E68">
        <v>-2.06</v>
      </c>
      <c r="F68">
        <v>161.4</v>
      </c>
      <c r="G68">
        <v>2.5</v>
      </c>
      <c r="H68">
        <v>-2.5</v>
      </c>
      <c r="I68">
        <v>147.5</v>
      </c>
      <c r="L68">
        <f t="shared" si="8"/>
        <v>0</v>
      </c>
      <c r="M68">
        <f t="shared" si="9"/>
        <v>0</v>
      </c>
      <c r="N68">
        <f t="shared" si="10"/>
        <v>-2.06</v>
      </c>
      <c r="O68">
        <f t="shared" si="11"/>
        <v>-161.4</v>
      </c>
      <c r="P68">
        <f t="shared" si="12"/>
        <v>2.06</v>
      </c>
      <c r="Q68">
        <f t="shared" si="13"/>
        <v>2.5</v>
      </c>
      <c r="R68">
        <f t="shared" si="14"/>
        <v>-2.5</v>
      </c>
      <c r="S68">
        <f t="shared" si="15"/>
        <v>-147.5</v>
      </c>
    </row>
    <row r="69" spans="1:19" x14ac:dyDescent="0.35">
      <c r="A69" s="1">
        <v>45979</v>
      </c>
      <c r="B69" t="s">
        <v>149</v>
      </c>
      <c r="C69" t="s">
        <v>150</v>
      </c>
      <c r="D69">
        <v>-9.14</v>
      </c>
      <c r="E69">
        <v>9.14</v>
      </c>
      <c r="F69">
        <v>157.80000000000001</v>
      </c>
      <c r="G69">
        <v>-6.5</v>
      </c>
      <c r="H69">
        <v>6.5</v>
      </c>
      <c r="I69">
        <v>149.5</v>
      </c>
      <c r="L69">
        <f t="shared" si="8"/>
        <v>0</v>
      </c>
      <c r="M69">
        <f t="shared" si="9"/>
        <v>0</v>
      </c>
      <c r="N69">
        <f t="shared" si="10"/>
        <v>9.14</v>
      </c>
      <c r="O69">
        <f t="shared" si="11"/>
        <v>-157.80000000000001</v>
      </c>
      <c r="P69">
        <f t="shared" si="12"/>
        <v>-9.14</v>
      </c>
      <c r="Q69">
        <f t="shared" si="13"/>
        <v>-6.5</v>
      </c>
      <c r="R69">
        <f t="shared" si="14"/>
        <v>6.5</v>
      </c>
      <c r="S69">
        <f t="shared" si="15"/>
        <v>-149.5</v>
      </c>
    </row>
    <row r="70" spans="1:19" x14ac:dyDescent="0.35">
      <c r="A70" s="1">
        <v>45979</v>
      </c>
      <c r="B70" t="s">
        <v>151</v>
      </c>
      <c r="C70" t="s">
        <v>152</v>
      </c>
      <c r="D70">
        <v>-30.78</v>
      </c>
      <c r="E70">
        <v>30.78</v>
      </c>
      <c r="F70">
        <v>166.3</v>
      </c>
      <c r="G70">
        <v>-21.5</v>
      </c>
      <c r="H70">
        <v>21.5</v>
      </c>
      <c r="I70">
        <v>146.5</v>
      </c>
      <c r="L70">
        <f t="shared" si="8"/>
        <v>0</v>
      </c>
      <c r="M70">
        <f t="shared" si="9"/>
        <v>0</v>
      </c>
      <c r="N70">
        <f t="shared" si="10"/>
        <v>30.78</v>
      </c>
      <c r="O70">
        <f t="shared" si="11"/>
        <v>-166.3</v>
      </c>
      <c r="P70">
        <f t="shared" si="12"/>
        <v>-30.78</v>
      </c>
      <c r="Q70">
        <f t="shared" si="13"/>
        <v>-21.5</v>
      </c>
      <c r="R70">
        <f t="shared" si="14"/>
        <v>21.5</v>
      </c>
      <c r="S70">
        <f t="shared" si="15"/>
        <v>-146.5</v>
      </c>
    </row>
    <row r="71" spans="1:19" x14ac:dyDescent="0.35">
      <c r="A71" s="1">
        <v>45979</v>
      </c>
      <c r="B71" t="s">
        <v>153</v>
      </c>
      <c r="C71" t="s">
        <v>154</v>
      </c>
      <c r="D71">
        <v>2.4300000000000002</v>
      </c>
      <c r="E71">
        <v>-2.4300000000000002</v>
      </c>
      <c r="F71">
        <v>160.6</v>
      </c>
      <c r="G71">
        <v>-3.5</v>
      </c>
      <c r="H71">
        <v>3.5</v>
      </c>
      <c r="I71">
        <v>154.5</v>
      </c>
      <c r="L71">
        <f t="shared" si="8"/>
        <v>0</v>
      </c>
      <c r="M71">
        <f t="shared" si="9"/>
        <v>0</v>
      </c>
      <c r="N71">
        <f t="shared" si="10"/>
        <v>-2.4300000000000002</v>
      </c>
      <c r="O71">
        <f t="shared" si="11"/>
        <v>-160.6</v>
      </c>
      <c r="P71">
        <f t="shared" si="12"/>
        <v>2.4300000000000002</v>
      </c>
      <c r="Q71">
        <f t="shared" si="13"/>
        <v>-3.5</v>
      </c>
      <c r="R71">
        <f t="shared" si="14"/>
        <v>3.5</v>
      </c>
      <c r="S71">
        <f t="shared" si="15"/>
        <v>-154.5</v>
      </c>
    </row>
    <row r="72" spans="1:19" x14ac:dyDescent="0.35">
      <c r="A72" s="1">
        <v>45979</v>
      </c>
      <c r="B72" t="s">
        <v>155</v>
      </c>
      <c r="C72" t="s">
        <v>156</v>
      </c>
      <c r="D72">
        <v>-41.51</v>
      </c>
      <c r="E72">
        <v>41.51</v>
      </c>
      <c r="F72">
        <v>159.19999999999999</v>
      </c>
      <c r="G72">
        <v>-30.5</v>
      </c>
      <c r="H72">
        <v>30.5</v>
      </c>
      <c r="I72">
        <v>143.5</v>
      </c>
      <c r="L72">
        <f t="shared" si="8"/>
        <v>0</v>
      </c>
      <c r="M72">
        <f t="shared" si="9"/>
        <v>0</v>
      </c>
      <c r="N72">
        <f t="shared" si="10"/>
        <v>41.51</v>
      </c>
      <c r="O72">
        <f t="shared" si="11"/>
        <v>-159.19999999999999</v>
      </c>
      <c r="P72">
        <f t="shared" si="12"/>
        <v>-41.51</v>
      </c>
      <c r="Q72">
        <f t="shared" si="13"/>
        <v>-30.5</v>
      </c>
      <c r="R72">
        <f t="shared" si="14"/>
        <v>30.5</v>
      </c>
      <c r="S72">
        <f t="shared" si="15"/>
        <v>-143.5</v>
      </c>
    </row>
    <row r="73" spans="1:19" x14ac:dyDescent="0.35">
      <c r="A73" s="1">
        <v>45979</v>
      </c>
      <c r="B73" t="s">
        <v>157</v>
      </c>
      <c r="C73" t="s">
        <v>158</v>
      </c>
      <c r="D73">
        <v>-27.15</v>
      </c>
      <c r="E73">
        <v>27.15</v>
      </c>
      <c r="F73">
        <v>170.3</v>
      </c>
      <c r="G73">
        <v>-20.5</v>
      </c>
      <c r="H73">
        <v>20.5</v>
      </c>
      <c r="I73">
        <v>155.5</v>
      </c>
      <c r="L73">
        <f t="shared" si="8"/>
        <v>0</v>
      </c>
      <c r="M73">
        <f t="shared" si="9"/>
        <v>0</v>
      </c>
      <c r="N73">
        <f t="shared" si="10"/>
        <v>27.15</v>
      </c>
      <c r="O73">
        <f t="shared" si="11"/>
        <v>-170.3</v>
      </c>
      <c r="P73">
        <f t="shared" si="12"/>
        <v>-27.15</v>
      </c>
      <c r="Q73">
        <f t="shared" si="13"/>
        <v>-20.5</v>
      </c>
      <c r="R73">
        <f t="shared" si="14"/>
        <v>20.5</v>
      </c>
      <c r="S73">
        <f t="shared" si="15"/>
        <v>-155.5</v>
      </c>
    </row>
    <row r="74" spans="1:19" x14ac:dyDescent="0.35">
      <c r="A74" s="1">
        <v>45979</v>
      </c>
      <c r="B74" t="s">
        <v>159</v>
      </c>
      <c r="C74" t="s">
        <v>160</v>
      </c>
      <c r="D74">
        <v>-13.47</v>
      </c>
      <c r="E74">
        <v>13.47</v>
      </c>
      <c r="F74">
        <v>156.9</v>
      </c>
      <c r="G74">
        <v>-11.5</v>
      </c>
      <c r="H74">
        <v>11.5</v>
      </c>
      <c r="I74">
        <v>141.5</v>
      </c>
      <c r="L74">
        <f t="shared" si="8"/>
        <v>0</v>
      </c>
      <c r="M74">
        <f t="shared" si="9"/>
        <v>0</v>
      </c>
      <c r="N74">
        <f t="shared" si="10"/>
        <v>13.47</v>
      </c>
      <c r="O74">
        <f t="shared" si="11"/>
        <v>-156.9</v>
      </c>
      <c r="P74">
        <f t="shared" si="12"/>
        <v>-13.47</v>
      </c>
      <c r="Q74">
        <f t="shared" si="13"/>
        <v>-11.5</v>
      </c>
      <c r="R74">
        <f t="shared" si="14"/>
        <v>11.5</v>
      </c>
      <c r="S74">
        <f t="shared" si="15"/>
        <v>-141.5</v>
      </c>
    </row>
    <row r="75" spans="1:19" x14ac:dyDescent="0.35">
      <c r="A75" s="1">
        <v>45979</v>
      </c>
      <c r="B75" t="s">
        <v>161</v>
      </c>
      <c r="C75" t="s">
        <v>162</v>
      </c>
      <c r="D75">
        <v>-30.02</v>
      </c>
      <c r="E75">
        <v>30.02</v>
      </c>
      <c r="F75">
        <v>158.80000000000001</v>
      </c>
      <c r="G75">
        <v>-20.5</v>
      </c>
      <c r="H75">
        <v>20.5</v>
      </c>
      <c r="I75">
        <v>145.5</v>
      </c>
      <c r="L75">
        <f t="shared" si="8"/>
        <v>0</v>
      </c>
      <c r="M75">
        <f t="shared" si="9"/>
        <v>0</v>
      </c>
      <c r="N75">
        <f t="shared" si="10"/>
        <v>30.02</v>
      </c>
      <c r="O75">
        <f t="shared" si="11"/>
        <v>-158.80000000000001</v>
      </c>
      <c r="P75">
        <f t="shared" si="12"/>
        <v>-30.02</v>
      </c>
      <c r="Q75">
        <f t="shared" si="13"/>
        <v>-20.5</v>
      </c>
      <c r="R75">
        <f t="shared" si="14"/>
        <v>20.5</v>
      </c>
      <c r="S75">
        <f t="shared" si="15"/>
        <v>-145.5</v>
      </c>
    </row>
    <row r="76" spans="1:19" x14ac:dyDescent="0.35">
      <c r="A76" s="1">
        <v>45979</v>
      </c>
      <c r="B76" t="s">
        <v>163</v>
      </c>
      <c r="C76" t="s">
        <v>164</v>
      </c>
      <c r="D76">
        <v>-26.67</v>
      </c>
      <c r="E76">
        <v>26.67</v>
      </c>
      <c r="F76">
        <v>164.9</v>
      </c>
      <c r="G76">
        <v>-17.5</v>
      </c>
      <c r="H76">
        <v>17.5</v>
      </c>
      <c r="I76">
        <v>144.5</v>
      </c>
      <c r="L76">
        <f t="shared" si="8"/>
        <v>0</v>
      </c>
      <c r="M76">
        <f t="shared" si="9"/>
        <v>0</v>
      </c>
      <c r="N76">
        <f t="shared" si="10"/>
        <v>26.67</v>
      </c>
      <c r="O76">
        <f t="shared" si="11"/>
        <v>-164.9</v>
      </c>
      <c r="P76">
        <f t="shared" si="12"/>
        <v>-26.67</v>
      </c>
      <c r="Q76">
        <f t="shared" si="13"/>
        <v>-17.5</v>
      </c>
      <c r="R76">
        <f t="shared" si="14"/>
        <v>17.5</v>
      </c>
      <c r="S76">
        <f t="shared" si="15"/>
        <v>-144.5</v>
      </c>
    </row>
    <row r="77" spans="1:19" x14ac:dyDescent="0.35">
      <c r="A77" s="1">
        <v>45979</v>
      </c>
      <c r="B77" t="s">
        <v>165</v>
      </c>
      <c r="C77" t="s">
        <v>166</v>
      </c>
      <c r="D77">
        <v>-25.23</v>
      </c>
      <c r="E77">
        <v>25.23</v>
      </c>
      <c r="F77">
        <v>159.6</v>
      </c>
      <c r="G77">
        <v>-20.5</v>
      </c>
      <c r="H77">
        <v>20.5</v>
      </c>
      <c r="I77">
        <v>138.5</v>
      </c>
      <c r="L77">
        <f t="shared" si="8"/>
        <v>0</v>
      </c>
      <c r="M77">
        <f t="shared" si="9"/>
        <v>0</v>
      </c>
      <c r="N77">
        <f t="shared" si="10"/>
        <v>25.23</v>
      </c>
      <c r="O77">
        <f t="shared" si="11"/>
        <v>-159.6</v>
      </c>
      <c r="P77">
        <f t="shared" si="12"/>
        <v>-25.23</v>
      </c>
      <c r="Q77">
        <f t="shared" si="13"/>
        <v>-20.5</v>
      </c>
      <c r="R77">
        <f t="shared" si="14"/>
        <v>20.5</v>
      </c>
      <c r="S77">
        <f t="shared" si="15"/>
        <v>-138.5</v>
      </c>
    </row>
    <row r="78" spans="1:19" x14ac:dyDescent="0.35">
      <c r="A78" s="1">
        <v>45979</v>
      </c>
      <c r="B78" t="s">
        <v>167</v>
      </c>
      <c r="C78" t="s">
        <v>168</v>
      </c>
      <c r="D78">
        <v>-21.07</v>
      </c>
      <c r="E78">
        <v>21.07</v>
      </c>
      <c r="F78">
        <v>158.4</v>
      </c>
      <c r="G78">
        <v>-11.5</v>
      </c>
      <c r="H78">
        <v>11.5</v>
      </c>
      <c r="I78">
        <v>142.5</v>
      </c>
      <c r="L78">
        <f t="shared" si="8"/>
        <v>0</v>
      </c>
      <c r="M78">
        <f t="shared" si="9"/>
        <v>0</v>
      </c>
      <c r="N78">
        <f t="shared" si="10"/>
        <v>21.07</v>
      </c>
      <c r="O78">
        <f t="shared" si="11"/>
        <v>-158.4</v>
      </c>
      <c r="P78">
        <f t="shared" si="12"/>
        <v>-21.07</v>
      </c>
      <c r="Q78">
        <f t="shared" si="13"/>
        <v>-11.5</v>
      </c>
      <c r="R78">
        <f t="shared" si="14"/>
        <v>11.5</v>
      </c>
      <c r="S78">
        <f t="shared" si="15"/>
        <v>-142.5</v>
      </c>
    </row>
    <row r="79" spans="1:19" x14ac:dyDescent="0.35">
      <c r="A79" s="1">
        <v>45979</v>
      </c>
      <c r="B79" t="s">
        <v>169</v>
      </c>
      <c r="C79" t="s">
        <v>170</v>
      </c>
      <c r="D79">
        <v>-28.68</v>
      </c>
      <c r="E79">
        <v>28.68</v>
      </c>
      <c r="F79">
        <v>160</v>
      </c>
      <c r="G79">
        <v>-19.5</v>
      </c>
      <c r="H79">
        <v>19.5</v>
      </c>
      <c r="I79">
        <v>146.5</v>
      </c>
      <c r="L79">
        <f t="shared" si="8"/>
        <v>0</v>
      </c>
      <c r="M79">
        <f t="shared" si="9"/>
        <v>0</v>
      </c>
      <c r="N79">
        <f t="shared" si="10"/>
        <v>28.68</v>
      </c>
      <c r="O79">
        <f t="shared" si="11"/>
        <v>-160</v>
      </c>
      <c r="P79">
        <f t="shared" si="12"/>
        <v>-28.68</v>
      </c>
      <c r="Q79">
        <f t="shared" si="13"/>
        <v>-19.5</v>
      </c>
      <c r="R79">
        <f t="shared" si="14"/>
        <v>19.5</v>
      </c>
      <c r="S79">
        <f t="shared" si="15"/>
        <v>-146.5</v>
      </c>
    </row>
    <row r="80" spans="1:19" x14ac:dyDescent="0.35">
      <c r="A80" s="1">
        <v>45979</v>
      </c>
      <c r="B80" t="s">
        <v>171</v>
      </c>
      <c r="C80" t="s">
        <v>172</v>
      </c>
      <c r="D80">
        <v>-27.05</v>
      </c>
      <c r="E80">
        <v>27.05</v>
      </c>
      <c r="F80">
        <v>167.3</v>
      </c>
      <c r="G80">
        <v>-15.5</v>
      </c>
      <c r="H80">
        <v>15.5</v>
      </c>
      <c r="I80">
        <v>138.5</v>
      </c>
      <c r="L80">
        <f t="shared" si="8"/>
        <v>0</v>
      </c>
      <c r="M80">
        <f t="shared" si="9"/>
        <v>0</v>
      </c>
      <c r="N80">
        <f t="shared" si="10"/>
        <v>27.05</v>
      </c>
      <c r="O80">
        <f t="shared" si="11"/>
        <v>-167.3</v>
      </c>
      <c r="P80">
        <f t="shared" si="12"/>
        <v>-27.05</v>
      </c>
      <c r="Q80">
        <f t="shared" si="13"/>
        <v>-15.5</v>
      </c>
      <c r="R80">
        <f t="shared" si="14"/>
        <v>15.5</v>
      </c>
      <c r="S80">
        <f t="shared" si="15"/>
        <v>-138.5</v>
      </c>
    </row>
    <row r="81" spans="1:19" x14ac:dyDescent="0.35">
      <c r="A81" s="1">
        <v>45979</v>
      </c>
      <c r="B81" t="s">
        <v>173</v>
      </c>
      <c r="C81" t="s">
        <v>174</v>
      </c>
      <c r="D81">
        <v>-38.270000000000003</v>
      </c>
      <c r="E81">
        <v>38.270000000000003</v>
      </c>
      <c r="F81">
        <v>163.6</v>
      </c>
      <c r="G81">
        <v>-28.5</v>
      </c>
      <c r="H81">
        <v>28.5</v>
      </c>
      <c r="I81">
        <v>145.5</v>
      </c>
      <c r="L81">
        <f t="shared" si="8"/>
        <v>0</v>
      </c>
      <c r="M81">
        <f t="shared" si="9"/>
        <v>0</v>
      </c>
      <c r="N81">
        <f t="shared" si="10"/>
        <v>38.270000000000003</v>
      </c>
      <c r="O81">
        <f t="shared" si="11"/>
        <v>-163.6</v>
      </c>
      <c r="P81">
        <f t="shared" si="12"/>
        <v>-38.270000000000003</v>
      </c>
      <c r="Q81">
        <f t="shared" si="13"/>
        <v>-28.5</v>
      </c>
      <c r="R81">
        <f t="shared" si="14"/>
        <v>28.5</v>
      </c>
      <c r="S81">
        <f t="shared" si="15"/>
        <v>-145.5</v>
      </c>
    </row>
  </sheetData>
  <sortState xmlns:xlrd2="http://schemas.microsoft.com/office/spreadsheetml/2017/richdata2" ref="A2:S26">
    <sortCondition descending="1" ref="J2:J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model_results_tracking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Harrell</dc:creator>
  <cp:lastModifiedBy>Kevin Harrell</cp:lastModifiedBy>
  <dcterms:created xsi:type="dcterms:W3CDTF">2025-11-17T15:51:25Z</dcterms:created>
  <dcterms:modified xsi:type="dcterms:W3CDTF">2025-11-18T16:18:41Z</dcterms:modified>
</cp:coreProperties>
</file>