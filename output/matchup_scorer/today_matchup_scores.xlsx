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Harl\Projects\NCAAM\output\matchup_scorer\"/>
    </mc:Choice>
  </mc:AlternateContent>
  <xr:revisionPtr revIDLastSave="0" documentId="13_ncr:1_{BBD0922F-530B-444F-8D43-2944D6DE154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2" i="1" l="1"/>
  <c r="K7" i="1"/>
  <c r="K11" i="1"/>
  <c r="K9" i="1"/>
  <c r="K10" i="1"/>
  <c r="K8" i="1"/>
</calcChain>
</file>

<file path=xl/sharedStrings.xml><?xml version="1.0" encoding="utf-8"?>
<sst xmlns="http://schemas.openxmlformats.org/spreadsheetml/2006/main" count="206" uniqueCount="111">
  <si>
    <t>Date</t>
  </si>
  <si>
    <t>Matchup</t>
  </si>
  <si>
    <t>EdgeTeam</t>
  </si>
  <si>
    <t>EdgePoints_Today</t>
  </si>
  <si>
    <t>ConfidenceScore</t>
  </si>
  <si>
    <t>Tier</t>
  </si>
  <si>
    <t>12/2/2025</t>
  </si>
  <si>
    <t>Army vs George Washington</t>
  </si>
  <si>
    <t>Army</t>
  </si>
  <si>
    <t>GREEN</t>
  </si>
  <si>
    <t>Tennessee Martin vs Charleston Southern</t>
  </si>
  <si>
    <t>Charleston Southern</t>
  </si>
  <si>
    <t>ORANGE</t>
  </si>
  <si>
    <t>Bryant vs Stonehill</t>
  </si>
  <si>
    <t>Stonehill</t>
  </si>
  <si>
    <t>Penn St. vs Campbell</t>
  </si>
  <si>
    <t>Campbell</t>
  </si>
  <si>
    <t>RED</t>
  </si>
  <si>
    <t>Binghamton vs Lehigh</t>
  </si>
  <si>
    <t>Binghamton</t>
  </si>
  <si>
    <t>Rhode Island vs Brown</t>
  </si>
  <si>
    <t>Rhode Island</t>
  </si>
  <si>
    <t>Butler vs Eastern Michigan</t>
  </si>
  <si>
    <t>Eastern Michigan</t>
  </si>
  <si>
    <t>George Mason vs Cornell</t>
  </si>
  <si>
    <t>George Mason</t>
  </si>
  <si>
    <t>YELLOW</t>
  </si>
  <si>
    <t>Dayton vs East Tennessee St.</t>
  </si>
  <si>
    <t>East Tennessee St.</t>
  </si>
  <si>
    <t>Duquesne vs William &amp; Mary</t>
  </si>
  <si>
    <t>William &amp; Mary</t>
  </si>
  <si>
    <t>East Carolina vs Maryland Eastern Shore</t>
  </si>
  <si>
    <t>Maryland Eastern Shore</t>
  </si>
  <si>
    <t>Providence vs Fairleigh Dickinson</t>
  </si>
  <si>
    <t>Fairleigh Dickinson</t>
  </si>
  <si>
    <t>Jacksonville vs Florida A&amp;M</t>
  </si>
  <si>
    <t>Florida A&amp;M</t>
  </si>
  <si>
    <t>Mercer vs Georgia St.</t>
  </si>
  <si>
    <t>Mercer</t>
  </si>
  <si>
    <t>Michigan St. vs Iowa</t>
  </si>
  <si>
    <t>Michigan St.</t>
  </si>
  <si>
    <t>Kennesaw St. vs Jackson St.</t>
  </si>
  <si>
    <t>Jackson St.</t>
  </si>
  <si>
    <t>South Alabama vs New Mexico St.</t>
  </si>
  <si>
    <t>New Mexico St.</t>
  </si>
  <si>
    <t>North Florida vs SIUE</t>
  </si>
  <si>
    <t>North Florida</t>
  </si>
  <si>
    <t>Wake Forest vs Oklahoma</t>
  </si>
  <si>
    <t>Wake Forest</t>
  </si>
  <si>
    <t>Pittsburgh vs Texas A&amp;M</t>
  </si>
  <si>
    <t>Pittsburgh</t>
  </si>
  <si>
    <t>South Carolina vs Virginia Tech</t>
  </si>
  <si>
    <t>South Carolina</t>
  </si>
  <si>
    <t>Syracuse vs Tennessee</t>
  </si>
  <si>
    <t>Syracuse</t>
  </si>
  <si>
    <t>UNC Asheville vs UNC Greensboro</t>
  </si>
  <si>
    <t>UNC Greensboro</t>
  </si>
  <si>
    <t>Drake vs Western Illinois</t>
  </si>
  <si>
    <t>Drake</t>
  </si>
  <si>
    <t>Duke vs Florida</t>
  </si>
  <si>
    <t>Florida</t>
  </si>
  <si>
    <t>Tulane vs Grambling St.</t>
  </si>
  <si>
    <t>Grambling St.</t>
  </si>
  <si>
    <t>LIU vs Winthrop</t>
  </si>
  <si>
    <t>LIU</t>
  </si>
  <si>
    <t>Arkansas St. vs UT Arlington</t>
  </si>
  <si>
    <t>UT Arlington</t>
  </si>
  <si>
    <t>Baylor vs Sacramento St.</t>
  </si>
  <si>
    <t>Sacramento St.</t>
  </si>
  <si>
    <t>Bradley vs Washington St.</t>
  </si>
  <si>
    <t>Bradley</t>
  </si>
  <si>
    <t>Loyola Chicago vs Central Michigan</t>
  </si>
  <si>
    <t>Central Michigan</t>
  </si>
  <si>
    <t>North Texas vs Houston Christian</t>
  </si>
  <si>
    <t>North Texas</t>
  </si>
  <si>
    <t>Northern Illinois vs Lindenwood</t>
  </si>
  <si>
    <t>Lindenwood</t>
  </si>
  <si>
    <t>Marquette vs Valparaiso</t>
  </si>
  <si>
    <t>Valparaiso</t>
  </si>
  <si>
    <t>Maryland vs Wagner</t>
  </si>
  <si>
    <t>Wagner</t>
  </si>
  <si>
    <t>Murray St. vs Morehead St.</t>
  </si>
  <si>
    <t>Morehead St.</t>
  </si>
  <si>
    <t>Oklahoma St. vs Sam Houston St.</t>
  </si>
  <si>
    <t>Sam Houston St.</t>
  </si>
  <si>
    <t>Rutgers vs Purdue</t>
  </si>
  <si>
    <t>Rutgers</t>
  </si>
  <si>
    <t>Pepperdine vs Abilene Christian</t>
  </si>
  <si>
    <t>Pepperdine</t>
  </si>
  <si>
    <t>Creighton vs Nicholls</t>
  </si>
  <si>
    <t>Creighton</t>
  </si>
  <si>
    <t>Florida St. vs Georgia</t>
  </si>
  <si>
    <t>Georgia</t>
  </si>
  <si>
    <t>Grand Canyon vs Stetson</t>
  </si>
  <si>
    <t>Stetson</t>
  </si>
  <si>
    <t>Kansas vs Connecticut</t>
  </si>
  <si>
    <t>Kansas</t>
  </si>
  <si>
    <t>Mississippi vs Miami FL</t>
  </si>
  <si>
    <t>Miami FL</t>
  </si>
  <si>
    <t>Notre Dame vs Missouri</t>
  </si>
  <si>
    <t>Missouri</t>
  </si>
  <si>
    <t>Kentucky vs North Carolina</t>
  </si>
  <si>
    <t>Kentucky</t>
  </si>
  <si>
    <t>California vs Utah</t>
  </si>
  <si>
    <t>California</t>
  </si>
  <si>
    <t>Loyola Marymount vs Saint Louis</t>
  </si>
  <si>
    <t>Loyola Marymount</t>
  </si>
  <si>
    <t>Nevada vs UC San Diego</t>
  </si>
  <si>
    <t>UC San Diego</t>
  </si>
  <si>
    <t>Oregon vs USC</t>
  </si>
  <si>
    <t>USC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</si>
</sst>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topLeftCell="A17" workbookViewId="0">
      <selection activeCell="G53" sqref="G53"/>
    </sheetView>
  </sheetViews>
  <sheetFormatPr defaultRowHeight="14.5" x14ac:dyDescent="0.35"/>
  <cols>
    <col min="1" max="1" width="9.453125" bestFit="1" customWidth="1"/>
    <col min="2" max="2" width="36" bestFit="1" customWidth="1"/>
    <col min="3" max="3" width="21.08984375" bestFit="1" customWidth="1"/>
    <col min="4" max="4" width="16.26953125" bestFit="1" customWidth="1"/>
    <col min="5" max="5" width="14.81640625" bestFit="1" customWidth="1"/>
    <col min="6" max="6" width="8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x14ac:dyDescent="0.35">
      <c r="A2" s="2" t="s">
        <v>6</v>
      </c>
      <c r="B2" s="2" t="s">
        <v>7</v>
      </c>
      <c r="C2" s="2" t="s">
        <v>8</v>
      </c>
      <c r="D2" s="2">
        <v>2.27</v>
      </c>
      <c r="E2" s="2">
        <v>76.81</v>
      </c>
      <c r="F2" s="2" t="s">
        <v>9</v>
      </c>
      <c r="G2" s="2">
        <v>50</v>
      </c>
    </row>
    <row r="3" spans="1:11" x14ac:dyDescent="0.35">
      <c r="A3" s="4" t="s">
        <v>6</v>
      </c>
      <c r="B3" s="4" t="s">
        <v>10</v>
      </c>
      <c r="C3" s="4" t="s">
        <v>11</v>
      </c>
      <c r="D3" s="4">
        <v>0.17</v>
      </c>
      <c r="E3" s="4">
        <v>59.650000000000013</v>
      </c>
      <c r="F3" s="4" t="s">
        <v>12</v>
      </c>
    </row>
    <row r="4" spans="1:11" x14ac:dyDescent="0.35">
      <c r="A4" s="4" t="s">
        <v>6</v>
      </c>
      <c r="B4" s="4" t="s">
        <v>13</v>
      </c>
      <c r="C4" s="4" t="s">
        <v>14</v>
      </c>
      <c r="D4" s="4">
        <v>0.63</v>
      </c>
      <c r="E4" s="4">
        <v>50.140066666666669</v>
      </c>
      <c r="F4" s="4" t="s">
        <v>12</v>
      </c>
    </row>
    <row r="5" spans="1:11" x14ac:dyDescent="0.35">
      <c r="A5" t="s">
        <v>6</v>
      </c>
      <c r="B5" t="s">
        <v>15</v>
      </c>
      <c r="C5" t="s">
        <v>16</v>
      </c>
      <c r="D5">
        <v>0.91</v>
      </c>
      <c r="E5">
        <v>25.243333333333339</v>
      </c>
      <c r="F5" t="s">
        <v>17</v>
      </c>
    </row>
    <row r="6" spans="1:11" x14ac:dyDescent="0.35">
      <c r="A6" t="s">
        <v>6</v>
      </c>
      <c r="B6" t="s">
        <v>18</v>
      </c>
      <c r="C6" t="s">
        <v>19</v>
      </c>
      <c r="D6">
        <v>0.89</v>
      </c>
      <c r="E6">
        <v>11.939666666666669</v>
      </c>
      <c r="F6" t="s">
        <v>17</v>
      </c>
    </row>
    <row r="7" spans="1:11" x14ac:dyDescent="0.35">
      <c r="A7" t="s">
        <v>6</v>
      </c>
      <c r="B7" t="s">
        <v>20</v>
      </c>
      <c r="C7" t="s">
        <v>21</v>
      </c>
      <c r="D7">
        <v>0.14000000000000001</v>
      </c>
      <c r="E7">
        <v>44.642266666666657</v>
      </c>
      <c r="F7" t="s">
        <v>17</v>
      </c>
      <c r="K7">
        <f>SUM(K8:K9)</f>
        <v>375</v>
      </c>
    </row>
    <row r="8" spans="1:11" x14ac:dyDescent="0.35">
      <c r="A8" t="s">
        <v>6</v>
      </c>
      <c r="B8" t="s">
        <v>22</v>
      </c>
      <c r="C8" t="s">
        <v>23</v>
      </c>
      <c r="D8">
        <v>0.69</v>
      </c>
      <c r="E8">
        <v>44.760893333333328</v>
      </c>
      <c r="F8" t="s">
        <v>17</v>
      </c>
      <c r="I8">
        <v>3</v>
      </c>
      <c r="J8">
        <v>50</v>
      </c>
      <c r="K8">
        <f>I8*J8</f>
        <v>150</v>
      </c>
    </row>
    <row r="9" spans="1:11" x14ac:dyDescent="0.35">
      <c r="A9" s="3" t="s">
        <v>6</v>
      </c>
      <c r="B9" s="3" t="s">
        <v>24</v>
      </c>
      <c r="C9" s="3" t="s">
        <v>25</v>
      </c>
      <c r="D9" s="3">
        <v>1.89</v>
      </c>
      <c r="E9" s="3">
        <v>71.093333333333334</v>
      </c>
      <c r="F9" s="3" t="s">
        <v>26</v>
      </c>
      <c r="G9" s="3">
        <v>37.5</v>
      </c>
      <c r="I9">
        <v>6</v>
      </c>
      <c r="J9">
        <v>37.5</v>
      </c>
      <c r="K9">
        <f t="shared" ref="K9:K10" si="0">I9*J9</f>
        <v>225</v>
      </c>
    </row>
    <row r="10" spans="1:11" x14ac:dyDescent="0.35">
      <c r="A10" t="s">
        <v>6</v>
      </c>
      <c r="B10" t="s">
        <v>27</v>
      </c>
      <c r="C10" t="s">
        <v>28</v>
      </c>
      <c r="D10">
        <v>1.86</v>
      </c>
      <c r="E10">
        <v>44.543333333333337</v>
      </c>
      <c r="F10" t="s">
        <v>17</v>
      </c>
      <c r="I10">
        <v>16</v>
      </c>
      <c r="J10">
        <v>25</v>
      </c>
      <c r="K10">
        <f t="shared" si="0"/>
        <v>400</v>
      </c>
    </row>
    <row r="11" spans="1:11" x14ac:dyDescent="0.35">
      <c r="A11" s="3" t="s">
        <v>6</v>
      </c>
      <c r="B11" s="3" t="s">
        <v>29</v>
      </c>
      <c r="C11" s="3" t="s">
        <v>30</v>
      </c>
      <c r="D11" s="3">
        <v>3.17</v>
      </c>
      <c r="E11" s="3">
        <v>66.356666666666669</v>
      </c>
      <c r="F11" s="3" t="s">
        <v>26</v>
      </c>
      <c r="G11" s="3">
        <v>37.5</v>
      </c>
      <c r="K11">
        <f>SUM(K8:K10)</f>
        <v>775</v>
      </c>
    </row>
    <row r="12" spans="1:11" x14ac:dyDescent="0.35">
      <c r="A12" s="4" t="s">
        <v>6</v>
      </c>
      <c r="B12" s="4" t="s">
        <v>31</v>
      </c>
      <c r="C12" s="4" t="s">
        <v>32</v>
      </c>
      <c r="D12" s="4">
        <v>4.0599999999999996</v>
      </c>
      <c r="E12" s="4">
        <v>56.099999999999987</v>
      </c>
      <c r="F12" s="4" t="s">
        <v>12</v>
      </c>
    </row>
    <row r="13" spans="1:11" x14ac:dyDescent="0.35">
      <c r="A13" t="s">
        <v>6</v>
      </c>
      <c r="B13" t="s">
        <v>33</v>
      </c>
      <c r="C13" t="s">
        <v>34</v>
      </c>
      <c r="D13">
        <v>0.41</v>
      </c>
      <c r="E13">
        <v>16.04516666666667</v>
      </c>
      <c r="F13" t="s">
        <v>17</v>
      </c>
    </row>
    <row r="14" spans="1:11" x14ac:dyDescent="0.35">
      <c r="A14" t="s">
        <v>6</v>
      </c>
      <c r="B14" t="s">
        <v>35</v>
      </c>
      <c r="C14" t="s">
        <v>36</v>
      </c>
      <c r="D14">
        <v>0.32</v>
      </c>
      <c r="E14">
        <v>35.96</v>
      </c>
      <c r="F14" t="s">
        <v>17</v>
      </c>
    </row>
    <row r="15" spans="1:11" x14ac:dyDescent="0.35">
      <c r="A15" s="3" t="s">
        <v>6</v>
      </c>
      <c r="B15" s="3" t="s">
        <v>37</v>
      </c>
      <c r="C15" s="3" t="s">
        <v>38</v>
      </c>
      <c r="D15" s="3">
        <v>2.67</v>
      </c>
      <c r="E15" s="3">
        <v>73.467777777777783</v>
      </c>
      <c r="F15" s="3" t="s">
        <v>26</v>
      </c>
      <c r="G15" s="3">
        <v>37.5</v>
      </c>
    </row>
    <row r="16" spans="1:11" x14ac:dyDescent="0.35">
      <c r="A16" t="s">
        <v>6</v>
      </c>
      <c r="B16" t="s">
        <v>39</v>
      </c>
      <c r="C16" t="s">
        <v>40</v>
      </c>
      <c r="D16">
        <v>0.62</v>
      </c>
      <c r="E16">
        <v>42.83253333333333</v>
      </c>
      <c r="F16" t="s">
        <v>17</v>
      </c>
    </row>
    <row r="17" spans="1:7" x14ac:dyDescent="0.35">
      <c r="A17" t="s">
        <v>6</v>
      </c>
      <c r="B17" t="s">
        <v>41</v>
      </c>
      <c r="C17" t="s">
        <v>42</v>
      </c>
      <c r="D17">
        <v>1.58</v>
      </c>
      <c r="E17">
        <v>4.9658000000000024</v>
      </c>
      <c r="F17" t="s">
        <v>17</v>
      </c>
    </row>
    <row r="18" spans="1:7" x14ac:dyDescent="0.35">
      <c r="A18" s="4" t="s">
        <v>6</v>
      </c>
      <c r="B18" s="4" t="s">
        <v>43</v>
      </c>
      <c r="C18" s="4" t="s">
        <v>44</v>
      </c>
      <c r="D18" s="4">
        <v>1.89</v>
      </c>
      <c r="E18" s="4">
        <v>52.404022222222217</v>
      </c>
      <c r="F18" s="4" t="s">
        <v>12</v>
      </c>
    </row>
    <row r="19" spans="1:7" x14ac:dyDescent="0.35">
      <c r="A19" s="3" t="s">
        <v>6</v>
      </c>
      <c r="B19" s="3" t="s">
        <v>45</v>
      </c>
      <c r="C19" s="3" t="s">
        <v>46</v>
      </c>
      <c r="D19" s="3">
        <v>3.53</v>
      </c>
      <c r="E19" s="3">
        <v>68.501500000000007</v>
      </c>
      <c r="F19" s="3" t="s">
        <v>26</v>
      </c>
      <c r="G19" s="3">
        <v>37.5</v>
      </c>
    </row>
    <row r="20" spans="1:7" x14ac:dyDescent="0.35">
      <c r="A20" s="4" t="s">
        <v>6</v>
      </c>
      <c r="B20" s="4" t="s">
        <v>47</v>
      </c>
      <c r="C20" s="4" t="s">
        <v>48</v>
      </c>
      <c r="D20" s="4">
        <v>3.16</v>
      </c>
      <c r="E20" s="4">
        <v>49.34</v>
      </c>
      <c r="F20" s="4" t="s">
        <v>12</v>
      </c>
    </row>
    <row r="21" spans="1:7" x14ac:dyDescent="0.35">
      <c r="A21" t="s">
        <v>6</v>
      </c>
      <c r="B21" t="s">
        <v>49</v>
      </c>
      <c r="C21" t="s">
        <v>50</v>
      </c>
      <c r="D21">
        <v>0.55000000000000004</v>
      </c>
      <c r="E21">
        <v>12.8605</v>
      </c>
      <c r="F21" t="s">
        <v>17</v>
      </c>
    </row>
    <row r="22" spans="1:7" x14ac:dyDescent="0.35">
      <c r="A22" s="4" t="s">
        <v>6</v>
      </c>
      <c r="B22" s="4" t="s">
        <v>51</v>
      </c>
      <c r="C22" s="4" t="s">
        <v>52</v>
      </c>
      <c r="D22" s="4">
        <v>0.6</v>
      </c>
      <c r="E22" s="4">
        <v>57.648666666666657</v>
      </c>
      <c r="F22" s="4" t="s">
        <v>12</v>
      </c>
    </row>
    <row r="23" spans="1:7" x14ac:dyDescent="0.35">
      <c r="A23" t="s">
        <v>6</v>
      </c>
      <c r="B23" t="s">
        <v>53</v>
      </c>
      <c r="C23" t="s">
        <v>54</v>
      </c>
      <c r="D23">
        <v>1.2</v>
      </c>
      <c r="E23">
        <v>25.422366666666669</v>
      </c>
      <c r="F23" t="s">
        <v>17</v>
      </c>
    </row>
    <row r="24" spans="1:7" x14ac:dyDescent="0.35">
      <c r="A24" t="s">
        <v>6</v>
      </c>
      <c r="B24" t="s">
        <v>55</v>
      </c>
      <c r="C24" t="s">
        <v>56</v>
      </c>
      <c r="D24">
        <v>0.24</v>
      </c>
      <c r="E24">
        <v>20.72</v>
      </c>
      <c r="F24" t="s">
        <v>17</v>
      </c>
    </row>
    <row r="25" spans="1:7" x14ac:dyDescent="0.35">
      <c r="A25" s="3" t="s">
        <v>6</v>
      </c>
      <c r="B25" s="3" t="s">
        <v>57</v>
      </c>
      <c r="C25" s="3" t="s">
        <v>58</v>
      </c>
      <c r="D25" s="3">
        <v>0.44</v>
      </c>
      <c r="E25" s="3">
        <v>68.113333333333344</v>
      </c>
      <c r="F25" s="3" t="s">
        <v>26</v>
      </c>
      <c r="G25" s="3">
        <v>37.5</v>
      </c>
    </row>
    <row r="26" spans="1:7" x14ac:dyDescent="0.35">
      <c r="A26" t="s">
        <v>6</v>
      </c>
      <c r="B26" t="s">
        <v>59</v>
      </c>
      <c r="C26" t="s">
        <v>60</v>
      </c>
      <c r="D26">
        <v>0.39</v>
      </c>
      <c r="E26">
        <v>27.05852222222223</v>
      </c>
      <c r="F26" t="s">
        <v>17</v>
      </c>
    </row>
    <row r="27" spans="1:7" x14ac:dyDescent="0.35">
      <c r="A27" s="4" t="s">
        <v>6</v>
      </c>
      <c r="B27" s="4" t="s">
        <v>61</v>
      </c>
      <c r="C27" s="4" t="s">
        <v>62</v>
      </c>
      <c r="D27" s="4">
        <v>0.66</v>
      </c>
      <c r="E27" s="4">
        <v>49.89693333333333</v>
      </c>
      <c r="F27" s="4" t="s">
        <v>12</v>
      </c>
    </row>
    <row r="28" spans="1:7" x14ac:dyDescent="0.35">
      <c r="A28" t="s">
        <v>6</v>
      </c>
      <c r="B28" t="s">
        <v>63</v>
      </c>
      <c r="C28" t="s">
        <v>64</v>
      </c>
      <c r="D28">
        <v>0.3</v>
      </c>
      <c r="E28">
        <v>9.608666666666668</v>
      </c>
      <c r="F28" t="s">
        <v>17</v>
      </c>
    </row>
    <row r="29" spans="1:7" x14ac:dyDescent="0.35">
      <c r="A29" s="4" t="s">
        <v>6</v>
      </c>
      <c r="B29" s="4" t="s">
        <v>65</v>
      </c>
      <c r="C29" s="4" t="s">
        <v>66</v>
      </c>
      <c r="D29" s="4">
        <v>2.48</v>
      </c>
      <c r="E29" s="4">
        <v>45.457999999999998</v>
      </c>
      <c r="F29" s="4" t="s">
        <v>12</v>
      </c>
    </row>
    <row r="30" spans="1:7" x14ac:dyDescent="0.35">
      <c r="A30" t="s">
        <v>6</v>
      </c>
      <c r="B30" t="s">
        <v>67</v>
      </c>
      <c r="C30" t="s">
        <v>68</v>
      </c>
      <c r="D30">
        <v>4.43</v>
      </c>
      <c r="E30">
        <v>19.874555555555549</v>
      </c>
      <c r="F30" t="s">
        <v>17</v>
      </c>
    </row>
    <row r="31" spans="1:7" x14ac:dyDescent="0.35">
      <c r="A31" t="s">
        <v>6</v>
      </c>
      <c r="B31" t="s">
        <v>69</v>
      </c>
      <c r="C31" t="s">
        <v>70</v>
      </c>
      <c r="D31">
        <v>0.44</v>
      </c>
      <c r="E31">
        <v>36.959066666666658</v>
      </c>
      <c r="F31" t="s">
        <v>17</v>
      </c>
    </row>
    <row r="32" spans="1:7" x14ac:dyDescent="0.35">
      <c r="A32" s="4" t="s">
        <v>6</v>
      </c>
      <c r="B32" s="4" t="s">
        <v>71</v>
      </c>
      <c r="C32" s="4" t="s">
        <v>72</v>
      </c>
      <c r="D32" s="4">
        <v>2.14</v>
      </c>
      <c r="E32" s="4">
        <v>53.652000000000001</v>
      </c>
      <c r="F32" s="4" t="s">
        <v>12</v>
      </c>
    </row>
    <row r="33" spans="1:7" x14ac:dyDescent="0.35">
      <c r="A33" s="4" t="s">
        <v>6</v>
      </c>
      <c r="B33" s="4" t="s">
        <v>73</v>
      </c>
      <c r="C33" s="4" t="s">
        <v>74</v>
      </c>
      <c r="D33" s="4">
        <v>0.94</v>
      </c>
      <c r="E33" s="4">
        <v>45.891111111111123</v>
      </c>
      <c r="F33" s="4" t="s">
        <v>12</v>
      </c>
    </row>
    <row r="34" spans="1:7" x14ac:dyDescent="0.35">
      <c r="A34" s="4" t="s">
        <v>6</v>
      </c>
      <c r="B34" s="4" t="s">
        <v>75</v>
      </c>
      <c r="C34" s="4" t="s">
        <v>76</v>
      </c>
      <c r="D34" s="4">
        <v>0.82</v>
      </c>
      <c r="E34" s="4">
        <v>47.315333333333328</v>
      </c>
      <c r="F34" s="4" t="s">
        <v>12</v>
      </c>
    </row>
    <row r="35" spans="1:7" x14ac:dyDescent="0.35">
      <c r="A35" s="4" t="s">
        <v>6</v>
      </c>
      <c r="B35" s="4" t="s">
        <v>77</v>
      </c>
      <c r="C35" s="4" t="s">
        <v>78</v>
      </c>
      <c r="D35" s="4">
        <v>5.17</v>
      </c>
      <c r="E35" s="4">
        <v>56.90066666666668</v>
      </c>
      <c r="F35" s="4" t="s">
        <v>12</v>
      </c>
    </row>
    <row r="36" spans="1:7" x14ac:dyDescent="0.35">
      <c r="A36" s="2" t="s">
        <v>6</v>
      </c>
      <c r="B36" s="2" t="s">
        <v>79</v>
      </c>
      <c r="C36" s="2" t="s">
        <v>80</v>
      </c>
      <c r="D36" s="2">
        <v>4.05</v>
      </c>
      <c r="E36" s="2">
        <v>82.149999999999991</v>
      </c>
      <c r="F36" s="2" t="s">
        <v>9</v>
      </c>
      <c r="G36" s="2">
        <v>50</v>
      </c>
    </row>
    <row r="37" spans="1:7" x14ac:dyDescent="0.35">
      <c r="A37" t="s">
        <v>6</v>
      </c>
      <c r="B37" t="s">
        <v>81</v>
      </c>
      <c r="C37" t="s">
        <v>82</v>
      </c>
      <c r="D37">
        <v>3.51</v>
      </c>
      <c r="E37">
        <v>25.950500000000009</v>
      </c>
      <c r="F37" t="s">
        <v>17</v>
      </c>
    </row>
    <row r="38" spans="1:7" x14ac:dyDescent="0.35">
      <c r="A38" s="4" t="s">
        <v>6</v>
      </c>
      <c r="B38" s="4" t="s">
        <v>83</v>
      </c>
      <c r="C38" s="4" t="s">
        <v>84</v>
      </c>
      <c r="D38" s="4">
        <v>1.29</v>
      </c>
      <c r="E38" s="4">
        <v>46.674599999999998</v>
      </c>
      <c r="F38" s="4" t="s">
        <v>12</v>
      </c>
    </row>
    <row r="39" spans="1:7" x14ac:dyDescent="0.35">
      <c r="A39" t="s">
        <v>6</v>
      </c>
      <c r="B39" t="s">
        <v>85</v>
      </c>
      <c r="C39" t="s">
        <v>86</v>
      </c>
      <c r="D39">
        <v>1.99</v>
      </c>
      <c r="E39">
        <v>13.285346666666671</v>
      </c>
      <c r="F39" t="s">
        <v>17</v>
      </c>
    </row>
    <row r="40" spans="1:7" x14ac:dyDescent="0.35">
      <c r="A40" t="s">
        <v>6</v>
      </c>
      <c r="B40" t="s">
        <v>87</v>
      </c>
      <c r="C40" t="s">
        <v>88</v>
      </c>
      <c r="D40">
        <v>0.14000000000000001</v>
      </c>
      <c r="E40">
        <v>13.07866666666667</v>
      </c>
      <c r="F40" t="s">
        <v>17</v>
      </c>
    </row>
    <row r="41" spans="1:7" x14ac:dyDescent="0.35">
      <c r="A41" t="s">
        <v>6</v>
      </c>
      <c r="B41" t="s">
        <v>89</v>
      </c>
      <c r="C41" t="s">
        <v>90</v>
      </c>
      <c r="D41">
        <v>0.61</v>
      </c>
      <c r="E41">
        <v>39.805500000000002</v>
      </c>
      <c r="F41" t="s">
        <v>17</v>
      </c>
    </row>
    <row r="42" spans="1:7" x14ac:dyDescent="0.35">
      <c r="A42" t="s">
        <v>6</v>
      </c>
      <c r="B42" t="s">
        <v>91</v>
      </c>
      <c r="C42" t="s">
        <v>92</v>
      </c>
      <c r="D42">
        <v>0.84</v>
      </c>
      <c r="E42">
        <v>17.98373333333333</v>
      </c>
      <c r="F42" t="s">
        <v>17</v>
      </c>
    </row>
    <row r="43" spans="1:7" x14ac:dyDescent="0.35">
      <c r="A43" t="s">
        <v>6</v>
      </c>
      <c r="B43" t="s">
        <v>93</v>
      </c>
      <c r="C43" t="s">
        <v>94</v>
      </c>
      <c r="D43">
        <v>3.15</v>
      </c>
      <c r="E43">
        <v>27.73586666666667</v>
      </c>
      <c r="F43" t="s">
        <v>17</v>
      </c>
    </row>
    <row r="44" spans="1:7" x14ac:dyDescent="0.35">
      <c r="A44" s="2" t="s">
        <v>6</v>
      </c>
      <c r="B44" s="2" t="s">
        <v>95</v>
      </c>
      <c r="C44" s="2" t="s">
        <v>96</v>
      </c>
      <c r="D44" s="2">
        <v>2.16</v>
      </c>
      <c r="E44" s="2">
        <v>75.957999999999998</v>
      </c>
      <c r="F44" s="2" t="s">
        <v>9</v>
      </c>
      <c r="G44" s="2">
        <v>50</v>
      </c>
    </row>
    <row r="45" spans="1:7" x14ac:dyDescent="0.35">
      <c r="A45" t="s">
        <v>6</v>
      </c>
      <c r="B45" t="s">
        <v>97</v>
      </c>
      <c r="C45" t="s">
        <v>98</v>
      </c>
      <c r="D45">
        <v>1.21</v>
      </c>
      <c r="E45">
        <v>40.063333333333333</v>
      </c>
      <c r="F45" t="s">
        <v>17</v>
      </c>
    </row>
    <row r="46" spans="1:7" x14ac:dyDescent="0.35">
      <c r="A46" t="s">
        <v>6</v>
      </c>
      <c r="B46" t="s">
        <v>99</v>
      </c>
      <c r="C46" t="s">
        <v>100</v>
      </c>
      <c r="D46">
        <v>3.63</v>
      </c>
      <c r="E46">
        <v>43.39</v>
      </c>
      <c r="F46" t="s">
        <v>17</v>
      </c>
    </row>
    <row r="47" spans="1:7" x14ac:dyDescent="0.35">
      <c r="A47" s="4" t="s">
        <v>6</v>
      </c>
      <c r="B47" s="4" t="s">
        <v>101</v>
      </c>
      <c r="C47" s="4" t="s">
        <v>102</v>
      </c>
      <c r="D47" s="4">
        <v>3.99</v>
      </c>
      <c r="E47" s="4">
        <v>45.534444444444453</v>
      </c>
      <c r="F47" s="4" t="s">
        <v>12</v>
      </c>
    </row>
    <row r="48" spans="1:7" x14ac:dyDescent="0.35">
      <c r="A48" s="3" t="s">
        <v>6</v>
      </c>
      <c r="B48" s="3" t="s">
        <v>103</v>
      </c>
      <c r="C48" s="3" t="s">
        <v>104</v>
      </c>
      <c r="D48" s="3">
        <v>0.43</v>
      </c>
      <c r="E48" s="3">
        <v>71.290000000000006</v>
      </c>
      <c r="F48" s="3" t="s">
        <v>26</v>
      </c>
      <c r="G48" s="3">
        <v>37.5</v>
      </c>
    </row>
    <row r="49" spans="1:7" x14ac:dyDescent="0.35">
      <c r="A49" t="s">
        <v>6</v>
      </c>
      <c r="B49" t="s">
        <v>105</v>
      </c>
      <c r="C49" t="s">
        <v>106</v>
      </c>
      <c r="D49">
        <v>1</v>
      </c>
      <c r="E49">
        <v>17.177777777777781</v>
      </c>
      <c r="F49" t="s">
        <v>17</v>
      </c>
    </row>
    <row r="50" spans="1:7" x14ac:dyDescent="0.35">
      <c r="A50" s="4" t="s">
        <v>6</v>
      </c>
      <c r="B50" s="4" t="s">
        <v>107</v>
      </c>
      <c r="C50" s="4" t="s">
        <v>108</v>
      </c>
      <c r="D50" s="4">
        <v>0.25</v>
      </c>
      <c r="E50" s="4">
        <v>51.645055555555572</v>
      </c>
      <c r="F50" s="4" t="s">
        <v>12</v>
      </c>
    </row>
    <row r="51" spans="1:7" x14ac:dyDescent="0.35">
      <c r="A51" s="4" t="s">
        <v>6</v>
      </c>
      <c r="B51" s="4" t="s">
        <v>109</v>
      </c>
      <c r="C51" s="4" t="s">
        <v>110</v>
      </c>
      <c r="D51" s="4">
        <v>2.29</v>
      </c>
      <c r="E51" s="4">
        <v>51.44</v>
      </c>
      <c r="F51" s="4" t="s">
        <v>12</v>
      </c>
    </row>
    <row r="52" spans="1:7" x14ac:dyDescent="0.35">
      <c r="G52">
        <f>SUM(G1:G51)</f>
        <v>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Harrell</cp:lastModifiedBy>
  <dcterms:created xsi:type="dcterms:W3CDTF">2025-12-02T14:49:26Z</dcterms:created>
  <dcterms:modified xsi:type="dcterms:W3CDTF">2025-12-02T15:10:51Z</dcterms:modified>
</cp:coreProperties>
</file>